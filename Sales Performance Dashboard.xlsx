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Lenovo\Desktop\exercisefile\"/>
    </mc:Choice>
  </mc:AlternateContent>
  <xr:revisionPtr revIDLastSave="0" documentId="13_ncr:1_{591A9155-48CE-4850-9477-CE908EA968C4}" xr6:coauthVersionLast="47" xr6:coauthVersionMax="47" xr10:uidLastSave="{00000000-0000-0000-0000-000000000000}"/>
  <bookViews>
    <workbookView xWindow="-110" yWindow="-110" windowWidth="19420" windowHeight="10300" activeTab="1" xr2:uid="{31E15E3E-BC0D-4248-A6BD-D23B00F18A57}"/>
  </bookViews>
  <sheets>
    <sheet name="Sheet2" sheetId="3" r:id="rId1"/>
    <sheet name="Dashboard" sheetId="5" r:id="rId2"/>
    <sheet name="Sheet3" sheetId="4" r:id="rId3"/>
    <sheet name="Sales_Data_2025" sheetId="2" r:id="rId4"/>
    <sheet name="Sheet1" sheetId="1" r:id="rId5"/>
  </sheets>
  <definedNames>
    <definedName name="ExternalData_1" localSheetId="3" hidden="1">Sales_Data_2025!$A$1:$Q$26</definedName>
    <definedName name="Slicer_month">#N/A</definedName>
  </definedNames>
  <calcPr calcId="191029"/>
  <pivotCaches>
    <pivotCache cacheId="29"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70" i="3" l="1"/>
  <c r="K70" i="3"/>
  <c r="L70" i="3"/>
  <c r="J71" i="3"/>
  <c r="K71" i="3"/>
  <c r="L71" i="3"/>
  <c r="J72" i="3"/>
  <c r="K72" i="3"/>
  <c r="L72" i="3"/>
  <c r="J62" i="3"/>
  <c r="K62" i="3"/>
  <c r="L62" i="3"/>
  <c r="J63" i="3"/>
  <c r="K63" i="3"/>
  <c r="L63" i="3"/>
  <c r="J64" i="3"/>
  <c r="K64" i="3"/>
  <c r="L64" i="3"/>
  <c r="J65" i="3"/>
  <c r="K65" i="3"/>
  <c r="L65" i="3"/>
  <c r="J66" i="3"/>
  <c r="K66" i="3"/>
  <c r="L66" i="3"/>
  <c r="J67" i="3"/>
  <c r="K67" i="3"/>
  <c r="L67" i="3"/>
  <c r="J68" i="3"/>
  <c r="K68" i="3"/>
  <c r="L68" i="3"/>
  <c r="J69" i="3"/>
  <c r="K69" i="3"/>
  <c r="L69" i="3"/>
  <c r="K61" i="3"/>
  <c r="L61" i="3"/>
  <c r="J61" i="3"/>
  <c r="C72" i="3"/>
  <c r="D72" i="3"/>
  <c r="C73" i="3"/>
  <c r="D73" i="3"/>
  <c r="C67" i="3"/>
  <c r="D67" i="3"/>
  <c r="C68" i="3"/>
  <c r="D68" i="3"/>
  <c r="C69" i="3"/>
  <c r="D69" i="3"/>
  <c r="C70" i="3"/>
  <c r="D70" i="3"/>
  <c r="C71" i="3"/>
  <c r="D71" i="3"/>
  <c r="D66" i="3"/>
  <c r="C66" i="3"/>
  <c r="F62" i="3"/>
  <c r="G62" i="3"/>
  <c r="F63" i="3"/>
  <c r="G63" i="3"/>
  <c r="F64" i="3"/>
  <c r="G64" i="3"/>
  <c r="F65" i="3"/>
  <c r="G65" i="3"/>
  <c r="F66" i="3"/>
  <c r="G66" i="3"/>
  <c r="F67" i="3"/>
  <c r="G67" i="3"/>
  <c r="F68" i="3"/>
  <c r="G68" i="3"/>
  <c r="F69" i="3"/>
  <c r="G69" i="3"/>
  <c r="F70" i="3"/>
  <c r="G70" i="3"/>
  <c r="F71" i="3"/>
  <c r="G71" i="3"/>
  <c r="F72" i="3"/>
  <c r="G72" i="3"/>
  <c r="F73" i="3"/>
  <c r="G73" i="3"/>
  <c r="F74" i="3"/>
  <c r="G74" i="3"/>
  <c r="F75" i="3"/>
  <c r="G75" i="3"/>
  <c r="G48" i="3"/>
  <c r="G49" i="3"/>
  <c r="G50" i="3"/>
  <c r="G51" i="3"/>
  <c r="G52" i="3"/>
  <c r="G53" i="3"/>
  <c r="G54" i="3"/>
  <c r="G55" i="3"/>
  <c r="G56" i="3"/>
  <c r="G57" i="3"/>
  <c r="G58" i="3"/>
  <c r="G59" i="3"/>
  <c r="G60" i="3"/>
  <c r="G61" i="3"/>
  <c r="F61" i="3"/>
  <c r="F59" i="3"/>
  <c r="F60" i="3"/>
  <c r="F57" i="3"/>
  <c r="F58" i="3"/>
  <c r="F49" i="3"/>
  <c r="F50" i="3"/>
  <c r="F51" i="3"/>
  <c r="F52" i="3"/>
  <c r="F53" i="3"/>
  <c r="F54" i="3"/>
  <c r="F55" i="3"/>
  <c r="F56" i="3"/>
  <c r="F48" i="3"/>
  <c r="C58" i="3"/>
  <c r="D58" i="3"/>
  <c r="C57" i="3"/>
  <c r="D57" i="3"/>
  <c r="C49" i="3"/>
  <c r="D49" i="3"/>
  <c r="C50" i="3"/>
  <c r="D50" i="3"/>
  <c r="C51" i="3"/>
  <c r="D51" i="3"/>
  <c r="C52" i="3"/>
  <c r="D52" i="3"/>
  <c r="C53" i="3"/>
  <c r="D53" i="3"/>
  <c r="C54" i="3"/>
  <c r="D54" i="3"/>
  <c r="C55" i="3"/>
  <c r="D55" i="3"/>
  <c r="C56" i="3"/>
  <c r="D56" i="3"/>
  <c r="D48" i="3"/>
  <c r="C4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30E206-DF6B-490C-996F-0C3D2512CF27}" keepAlive="1" name="Query - Sales_Data_2025" description="Connection to the 'Sales_Data_2025' query in the workbook." type="5" refreshedVersion="8" background="1" saveData="1">
    <dbPr connection="Provider=Microsoft.Mashup.OleDb.1;Data Source=$Workbook$;Location=Sales_Data_2025;Extended Properties=&quot;&quot;" command="SELECT * FROM [Sales_Data_2025]"/>
  </connection>
</connections>
</file>

<file path=xl/sharedStrings.xml><?xml version="1.0" encoding="utf-8"?>
<sst xmlns="http://schemas.openxmlformats.org/spreadsheetml/2006/main" count="378" uniqueCount="110">
  <si>
    <t>inv_date</t>
  </si>
  <si>
    <t>month</t>
  </si>
  <si>
    <t>year</t>
  </si>
  <si>
    <t>sales_zone</t>
  </si>
  <si>
    <t>country</t>
  </si>
  <si>
    <t>state</t>
  </si>
  <si>
    <t>city</t>
  </si>
  <si>
    <t>payment_mode</t>
  </si>
  <si>
    <t>revenue</t>
  </si>
  <si>
    <t>unit_price</t>
  </si>
  <si>
    <t>quantity</t>
  </si>
  <si>
    <t>product_name</t>
  </si>
  <si>
    <t>category</t>
  </si>
  <si>
    <t>sub_category</t>
  </si>
  <si>
    <t>salesman</t>
  </si>
  <si>
    <t>discount</t>
  </si>
  <si>
    <t>profit</t>
  </si>
  <si>
    <t>January</t>
  </si>
  <si>
    <t>East</t>
  </si>
  <si>
    <t>India</t>
  </si>
  <si>
    <t>Assam</t>
  </si>
  <si>
    <t>Guwahati</t>
  </si>
  <si>
    <t>UPI</t>
  </si>
  <si>
    <t>Printer</t>
  </si>
  <si>
    <t>Electronics</t>
  </si>
  <si>
    <t>Accessories</t>
  </si>
  <si>
    <t>Arjun</t>
  </si>
  <si>
    <t>North</t>
  </si>
  <si>
    <t>Haryana</t>
  </si>
  <si>
    <t>Gurgaon</t>
  </si>
  <si>
    <t>Credit Card</t>
  </si>
  <si>
    <t>Laptop</t>
  </si>
  <si>
    <t>Computers</t>
  </si>
  <si>
    <t>Rahul</t>
  </si>
  <si>
    <t>South</t>
  </si>
  <si>
    <t>Karnataka</t>
  </si>
  <si>
    <t>Mangalore</t>
  </si>
  <si>
    <t>Debit Card</t>
  </si>
  <si>
    <t>Monitor</t>
  </si>
  <si>
    <t>Displays</t>
  </si>
  <si>
    <t>Sneha</t>
  </si>
  <si>
    <t>February</t>
  </si>
  <si>
    <t>West</t>
  </si>
  <si>
    <t>Gujarat</t>
  </si>
  <si>
    <t>Surat</t>
  </si>
  <si>
    <t>Tablet</t>
  </si>
  <si>
    <t>Mobile Devices</t>
  </si>
  <si>
    <t>Anita</t>
  </si>
  <si>
    <t>Odisha</t>
  </si>
  <si>
    <t>Cuttack</t>
  </si>
  <si>
    <t>Cash</t>
  </si>
  <si>
    <t>Desk</t>
  </si>
  <si>
    <t>Furniture</t>
  </si>
  <si>
    <t>Office</t>
  </si>
  <si>
    <t>Kerala</t>
  </si>
  <si>
    <t>Kochi</t>
  </si>
  <si>
    <t>Smartphone</t>
  </si>
  <si>
    <t>March</t>
  </si>
  <si>
    <t>Uttar Pradesh</t>
  </si>
  <si>
    <t>Noida</t>
  </si>
  <si>
    <t>Rajasthan</t>
  </si>
  <si>
    <t>Udaipur</t>
  </si>
  <si>
    <t>Office Chair</t>
  </si>
  <si>
    <t>Seating</t>
  </si>
  <si>
    <t>Bihar</t>
  </si>
  <si>
    <t>Gaya</t>
  </si>
  <si>
    <t>April</t>
  </si>
  <si>
    <t>Tamil Nadu</t>
  </si>
  <si>
    <t>Madurai</t>
  </si>
  <si>
    <t>Punjab</t>
  </si>
  <si>
    <t>Amritsar</t>
  </si>
  <si>
    <t>Maharashtra</t>
  </si>
  <si>
    <t>Nagpur</t>
  </si>
  <si>
    <t>May</t>
  </si>
  <si>
    <t>West Bengal</t>
  </si>
  <si>
    <t>Howrah</t>
  </si>
  <si>
    <t>Telangana</t>
  </si>
  <si>
    <t>Warangal</t>
  </si>
  <si>
    <t>Himachal Pradesh</t>
  </si>
  <si>
    <t>Manali</t>
  </si>
  <si>
    <t>June</t>
  </si>
  <si>
    <t>Rajkot</t>
  </si>
  <si>
    <t>Jharkhand</t>
  </si>
  <si>
    <t>Dhanbad</t>
  </si>
  <si>
    <t>Hubli</t>
  </si>
  <si>
    <t>July</t>
  </si>
  <si>
    <t>Uttarakhand</t>
  </si>
  <si>
    <t>Haridwar</t>
  </si>
  <si>
    <t>Kota</t>
  </si>
  <si>
    <t>Bangalore</t>
  </si>
  <si>
    <t>Delhi</t>
  </si>
  <si>
    <t>New Delhi</t>
  </si>
  <si>
    <t>Mumbai</t>
  </si>
  <si>
    <t>Chennai</t>
  </si>
  <si>
    <t>Grand Total</t>
  </si>
  <si>
    <t>Total</t>
  </si>
  <si>
    <t>Values</t>
  </si>
  <si>
    <t>Sum of revenue</t>
  </si>
  <si>
    <t>Sum of quantity</t>
  </si>
  <si>
    <t>Total revenue by month</t>
  </si>
  <si>
    <t>Revenue by sales zone</t>
  </si>
  <si>
    <t>Product by revenue</t>
  </si>
  <si>
    <t>Sales by salesman</t>
  </si>
  <si>
    <t xml:space="preserve"> Payment mode distribution</t>
  </si>
  <si>
    <t>category and sud category performance</t>
  </si>
  <si>
    <t>Quantity sold by city</t>
  </si>
  <si>
    <t>year-wise growth</t>
  </si>
  <si>
    <t>Sum of revenue2</t>
  </si>
  <si>
    <t>Count of inv_date</t>
  </si>
  <si>
    <t>Count of inv_date2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</si>
</sst>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9" formatCode="[$₹-44C]#,##0"/>
    <numFmt numFmtId="170" formatCode="[$₹-457]\ #,##0"/>
  </numFmts>
  <fonts count="1" x14ac:knownFonts="1">
    <font>
      <sz val="11"/>
      <color theme="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applyNumberFormat="1"/>
    <xf numFmtId="0" fontId="0" fillId="0" borderId="0" xfId="0" pivotButton="1"/>
    <xf numFmtId="0" fontId="0" fillId="2" borderId="0" xfId="0" applyFill="1" applyAlignment="1">
      <alignment vertical="center"/>
    </xf>
    <xf numFmtId="0" fontId="0" fillId="2" borderId="0" xfId="0" applyFill="1" applyAlignment="1">
      <alignment horizontal="center"/>
    </xf>
    <xf numFmtId="169" fontId="0" fillId="0" borderId="0" xfId="0" applyNumberFormat="1"/>
    <xf numFmtId="170" fontId="0" fillId="0" borderId="0" xfId="0" applyNumberFormat="1"/>
    <xf numFmtId="10" fontId="0" fillId="0" borderId="0" xfId="0" applyNumberFormat="1"/>
    <xf numFmtId="9" fontId="0" fillId="0" borderId="0" xfId="0" applyNumberFormat="1"/>
  </cellXfs>
  <cellStyles count="1">
    <cellStyle name="Normal" xfId="0" builtinId="0"/>
  </cellStyles>
  <dxfs count="15">
    <dxf>
      <numFmt numFmtId="167" formatCode="&quot;AED&quot;#,##0.00"/>
    </dxf>
    <dxf>
      <numFmt numFmtId="169" formatCode="[$₹-44C]#,##0"/>
    </dxf>
    <dxf>
      <numFmt numFmtId="167" formatCode="&quot;AED&quot;#,##0.00"/>
    </dxf>
    <dxf>
      <numFmt numFmtId="169" formatCode="[$₹-44C]#,##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Dashboard.xlsx]Sheet2!PivotTable8</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92804024496935"/>
          <c:y val="0.25402559055118112"/>
          <c:w val="0.8332941819772528"/>
          <c:h val="0.53774387576552929"/>
        </c:manualLayout>
      </c:layout>
      <c:lineChart>
        <c:grouping val="standard"/>
        <c:varyColors val="0"/>
        <c:ser>
          <c:idx val="0"/>
          <c:order val="0"/>
          <c:tx>
            <c:strRef>
              <c:f>Sheet2!$B$3:$B$4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Sheet2!$A$5:$A$12</c:f>
              <c:strCache>
                <c:ptCount val="7"/>
                <c:pt idx="0">
                  <c:v>January</c:v>
                </c:pt>
                <c:pt idx="1">
                  <c:v>February</c:v>
                </c:pt>
                <c:pt idx="2">
                  <c:v>March</c:v>
                </c:pt>
                <c:pt idx="3">
                  <c:v>April</c:v>
                </c:pt>
                <c:pt idx="4">
                  <c:v>May</c:v>
                </c:pt>
                <c:pt idx="5">
                  <c:v>June</c:v>
                </c:pt>
                <c:pt idx="6">
                  <c:v>July</c:v>
                </c:pt>
              </c:strCache>
            </c:strRef>
          </c:cat>
          <c:val>
            <c:numRef>
              <c:f>Sheet2!$B$5:$B$12</c:f>
              <c:numCache>
                <c:formatCode>[$₹-44C]#,##0</c:formatCode>
                <c:ptCount val="7"/>
                <c:pt idx="0">
                  <c:v>123000</c:v>
                </c:pt>
                <c:pt idx="1">
                  <c:v>117000</c:v>
                </c:pt>
                <c:pt idx="2">
                  <c:v>93000</c:v>
                </c:pt>
                <c:pt idx="3">
                  <c:v>60000</c:v>
                </c:pt>
                <c:pt idx="4">
                  <c:v>45000</c:v>
                </c:pt>
                <c:pt idx="5">
                  <c:v>55000</c:v>
                </c:pt>
                <c:pt idx="6">
                  <c:v>41000</c:v>
                </c:pt>
              </c:numCache>
            </c:numRef>
          </c:val>
          <c:smooth val="0"/>
          <c:extLst>
            <c:ext xmlns:c16="http://schemas.microsoft.com/office/drawing/2014/chart" uri="{C3380CC4-5D6E-409C-BE32-E72D297353CC}">
              <c16:uniqueId val="{00000000-02D9-4BAE-A55F-C5F90EA45E2F}"/>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51219647"/>
        <c:axId val="351217727"/>
      </c:lineChart>
      <c:catAx>
        <c:axId val="35121964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351217727"/>
        <c:crosses val="autoZero"/>
        <c:auto val="1"/>
        <c:lblAlgn val="ctr"/>
        <c:lblOffset val="100"/>
        <c:noMultiLvlLbl val="0"/>
      </c:catAx>
      <c:valAx>
        <c:axId val="351217727"/>
        <c:scaling>
          <c:orientation val="minMax"/>
        </c:scaling>
        <c:delete val="0"/>
        <c:axPos val="l"/>
        <c:numFmt formatCode="[$₹-44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51219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Performance Dashboard.xlsx]Sheet2!PivotTable9</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Revenue by Sales Zone</a:t>
            </a:r>
          </a:p>
        </c:rich>
      </c:tx>
      <c:layout>
        <c:manualLayout>
          <c:xMode val="edge"/>
          <c:yMode val="edge"/>
          <c:x val="0.32027777777777777"/>
          <c:y val="4.1666666666666664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5">
                  <a:alpha val="0"/>
                </a:schemeClr>
              </a:gs>
              <a:gs pos="50000">
                <a:schemeClr val="accent5"/>
              </a:gs>
            </a:gsLst>
            <a:lin ang="5400000" scaled="0"/>
          </a:gradFill>
          <a:ln>
            <a:noFill/>
          </a:ln>
          <a:effectLst/>
          <a:sp3d/>
        </c:spPr>
        <c:marker>
          <c:symbol val="circle"/>
          <c:size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Sheet2!$E$3:$E$4</c:f>
              <c:strCache>
                <c:ptCount val="1"/>
                <c:pt idx="0">
                  <c:v>Total</c:v>
                </c:pt>
              </c:strCache>
            </c:strRef>
          </c:tx>
          <c:spPr>
            <a:gradFill>
              <a:gsLst>
                <a:gs pos="100000">
                  <a:schemeClr val="accent5">
                    <a:alpha val="0"/>
                  </a:schemeClr>
                </a:gs>
                <a:gs pos="50000">
                  <a:schemeClr val="accent5"/>
                </a:gs>
              </a:gsLst>
              <a:lin ang="5400000" scaled="0"/>
            </a:gradFill>
            <a:ln>
              <a:noFill/>
            </a:ln>
            <a:effectLst/>
            <a:sp3d/>
          </c:spPr>
          <c:invertIfNegative val="0"/>
          <c:cat>
            <c:strRef>
              <c:f>Sheet2!$D$5:$D$9</c:f>
              <c:strCache>
                <c:ptCount val="4"/>
                <c:pt idx="0">
                  <c:v>East</c:v>
                </c:pt>
                <c:pt idx="1">
                  <c:v>North</c:v>
                </c:pt>
                <c:pt idx="2">
                  <c:v>South</c:v>
                </c:pt>
                <c:pt idx="3">
                  <c:v>West</c:v>
                </c:pt>
              </c:strCache>
            </c:strRef>
          </c:cat>
          <c:val>
            <c:numRef>
              <c:f>Sheet2!$E$5:$E$9</c:f>
              <c:numCache>
                <c:formatCode>[$₹-44C]#,##0</c:formatCode>
                <c:ptCount val="4"/>
                <c:pt idx="0">
                  <c:v>80000</c:v>
                </c:pt>
                <c:pt idx="1">
                  <c:v>119000</c:v>
                </c:pt>
                <c:pt idx="2">
                  <c:v>200000</c:v>
                </c:pt>
                <c:pt idx="3">
                  <c:v>135000</c:v>
                </c:pt>
              </c:numCache>
            </c:numRef>
          </c:val>
          <c:extLst>
            <c:ext xmlns:c16="http://schemas.microsoft.com/office/drawing/2014/chart" uri="{C3380CC4-5D6E-409C-BE32-E72D297353CC}">
              <c16:uniqueId val="{00000000-4DBF-41CC-9A6E-9F8AF3C4E6A0}"/>
            </c:ext>
          </c:extLst>
        </c:ser>
        <c:dLbls>
          <c:showLegendKey val="0"/>
          <c:showVal val="0"/>
          <c:showCatName val="0"/>
          <c:showSerName val="0"/>
          <c:showPercent val="0"/>
          <c:showBubbleSize val="0"/>
        </c:dLbls>
        <c:gapWidth val="150"/>
        <c:gapDepth val="0"/>
        <c:shape val="box"/>
        <c:axId val="479612143"/>
        <c:axId val="479608303"/>
        <c:axId val="0"/>
      </c:bar3DChart>
      <c:catAx>
        <c:axId val="4796121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608303"/>
        <c:crosses val="autoZero"/>
        <c:auto val="1"/>
        <c:lblAlgn val="ctr"/>
        <c:lblOffset val="100"/>
        <c:noMultiLvlLbl val="0"/>
      </c:catAx>
      <c:valAx>
        <c:axId val="479608303"/>
        <c:scaling>
          <c:orientation val="minMax"/>
        </c:scaling>
        <c:delete val="0"/>
        <c:axPos val="l"/>
        <c:majorGridlines>
          <c:spPr>
            <a:ln w="9525" cap="flat" cmpd="sng" algn="ctr">
              <a:solidFill>
                <a:schemeClr val="tx1">
                  <a:lumMod val="5000"/>
                  <a:lumOff val="95000"/>
                </a:schemeClr>
              </a:solidFill>
              <a:round/>
            </a:ln>
            <a:effectLst/>
          </c:spPr>
        </c:majorGridlines>
        <c:numFmt formatCode="[$₹-44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61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Dashboard.xlsx]Sheet2!PivotTable10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Product by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Sheet2!$H$3:$H$4</c:f>
              <c:strCache>
                <c:ptCount val="1"/>
                <c:pt idx="0">
                  <c:v>Total</c:v>
                </c:pt>
              </c:strCache>
            </c:strRef>
          </c:tx>
          <c:spPr>
            <a:solidFill>
              <a:schemeClr val="accent1"/>
            </a:solidFill>
            <a:ln>
              <a:noFill/>
            </a:ln>
            <a:effectLst/>
            <a:sp3d/>
          </c:spPr>
          <c:invertIfNegative val="0"/>
          <c:cat>
            <c:strRef>
              <c:f>Sheet2!$G$5:$G$12</c:f>
              <c:strCache>
                <c:ptCount val="7"/>
                <c:pt idx="0">
                  <c:v>Desk</c:v>
                </c:pt>
                <c:pt idx="1">
                  <c:v>Laptop</c:v>
                </c:pt>
                <c:pt idx="2">
                  <c:v>Monitor</c:v>
                </c:pt>
                <c:pt idx="3">
                  <c:v>Office Chair</c:v>
                </c:pt>
                <c:pt idx="4">
                  <c:v>Printer</c:v>
                </c:pt>
                <c:pt idx="5">
                  <c:v>Smartphone</c:v>
                </c:pt>
                <c:pt idx="6">
                  <c:v>Tablet</c:v>
                </c:pt>
              </c:strCache>
            </c:strRef>
          </c:cat>
          <c:val>
            <c:numRef>
              <c:f>Sheet2!$H$5:$H$12</c:f>
              <c:numCache>
                <c:formatCode>[$₹-44C]#,##0</c:formatCode>
                <c:ptCount val="7"/>
                <c:pt idx="0">
                  <c:v>19000</c:v>
                </c:pt>
                <c:pt idx="1">
                  <c:v>167000</c:v>
                </c:pt>
                <c:pt idx="2">
                  <c:v>50000</c:v>
                </c:pt>
                <c:pt idx="3">
                  <c:v>31000</c:v>
                </c:pt>
                <c:pt idx="4">
                  <c:v>41000</c:v>
                </c:pt>
                <c:pt idx="5">
                  <c:v>123000</c:v>
                </c:pt>
                <c:pt idx="6">
                  <c:v>103000</c:v>
                </c:pt>
              </c:numCache>
            </c:numRef>
          </c:val>
          <c:extLst>
            <c:ext xmlns:c16="http://schemas.microsoft.com/office/drawing/2014/chart" uri="{C3380CC4-5D6E-409C-BE32-E72D297353CC}">
              <c16:uniqueId val="{00000000-2EB4-4FB8-B829-EE276ADAC166}"/>
            </c:ext>
          </c:extLst>
        </c:ser>
        <c:dLbls>
          <c:showLegendKey val="0"/>
          <c:showVal val="0"/>
          <c:showCatName val="0"/>
          <c:showSerName val="0"/>
          <c:showPercent val="0"/>
          <c:showBubbleSize val="0"/>
        </c:dLbls>
        <c:gapWidth val="150"/>
        <c:shape val="box"/>
        <c:axId val="350258255"/>
        <c:axId val="350258735"/>
        <c:axId val="0"/>
      </c:bar3DChart>
      <c:catAx>
        <c:axId val="35025825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258735"/>
        <c:crosses val="autoZero"/>
        <c:auto val="1"/>
        <c:lblAlgn val="ctr"/>
        <c:lblOffset val="100"/>
        <c:noMultiLvlLbl val="0"/>
      </c:catAx>
      <c:valAx>
        <c:axId val="350258735"/>
        <c:scaling>
          <c:orientation val="minMax"/>
        </c:scaling>
        <c:delete val="0"/>
        <c:axPos val="b"/>
        <c:numFmt formatCode="[$₹-44C]#,##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25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Dashboard.xlsx]Sheet2!PivotTable11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by Salesman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35870516185476"/>
          <c:y val="0.24939596092155147"/>
          <c:w val="0.71123381452318457"/>
          <c:h val="0.53774387576552929"/>
        </c:manualLayout>
      </c:layout>
      <c:barChart>
        <c:barDir val="col"/>
        <c:grouping val="clustered"/>
        <c:varyColors val="0"/>
        <c:ser>
          <c:idx val="0"/>
          <c:order val="0"/>
          <c:tx>
            <c:strRef>
              <c:f>Sheet2!$K$3:$K$4</c:f>
              <c:strCache>
                <c:ptCount val="1"/>
                <c:pt idx="0">
                  <c:v>Total</c:v>
                </c:pt>
              </c:strCache>
            </c:strRef>
          </c:tx>
          <c:spPr>
            <a:solidFill>
              <a:schemeClr val="accent1"/>
            </a:solidFill>
            <a:ln>
              <a:noFill/>
            </a:ln>
            <a:effectLst/>
          </c:spPr>
          <c:invertIfNegative val="0"/>
          <c:cat>
            <c:strRef>
              <c:f>Sheet2!$J$5:$J$9</c:f>
              <c:strCache>
                <c:ptCount val="4"/>
                <c:pt idx="0">
                  <c:v>Anita</c:v>
                </c:pt>
                <c:pt idx="1">
                  <c:v>Arjun</c:v>
                </c:pt>
                <c:pt idx="2">
                  <c:v>Rahul</c:v>
                </c:pt>
                <c:pt idx="3">
                  <c:v>Sneha</c:v>
                </c:pt>
              </c:strCache>
            </c:strRef>
          </c:cat>
          <c:val>
            <c:numRef>
              <c:f>Sheet2!$K$5:$K$9</c:f>
              <c:numCache>
                <c:formatCode>[$₹-457]\ #,##0</c:formatCode>
                <c:ptCount val="4"/>
                <c:pt idx="0">
                  <c:v>135000</c:v>
                </c:pt>
                <c:pt idx="1">
                  <c:v>80000</c:v>
                </c:pt>
                <c:pt idx="2">
                  <c:v>119000</c:v>
                </c:pt>
                <c:pt idx="3">
                  <c:v>200000</c:v>
                </c:pt>
              </c:numCache>
            </c:numRef>
          </c:val>
          <c:extLst>
            <c:ext xmlns:c16="http://schemas.microsoft.com/office/drawing/2014/chart" uri="{C3380CC4-5D6E-409C-BE32-E72D297353CC}">
              <c16:uniqueId val="{00000000-9763-45A7-B68D-9E0C8EBD731E}"/>
            </c:ext>
          </c:extLst>
        </c:ser>
        <c:dLbls>
          <c:showLegendKey val="0"/>
          <c:showVal val="0"/>
          <c:showCatName val="0"/>
          <c:showSerName val="0"/>
          <c:showPercent val="0"/>
          <c:showBubbleSize val="0"/>
        </c:dLbls>
        <c:gapWidth val="219"/>
        <c:overlap val="-27"/>
        <c:axId val="155746863"/>
        <c:axId val="155743503"/>
      </c:barChart>
      <c:catAx>
        <c:axId val="15574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43503"/>
        <c:crosses val="autoZero"/>
        <c:auto val="1"/>
        <c:lblAlgn val="ctr"/>
        <c:lblOffset val="100"/>
        <c:noMultiLvlLbl val="0"/>
      </c:catAx>
      <c:valAx>
        <c:axId val="155743503"/>
        <c:scaling>
          <c:orientation val="minMax"/>
        </c:scaling>
        <c:delete val="0"/>
        <c:axPos val="l"/>
        <c:majorGridlines>
          <c:spPr>
            <a:ln w="9525" cap="flat" cmpd="sng" algn="ctr">
              <a:solidFill>
                <a:schemeClr val="tx1">
                  <a:lumMod val="15000"/>
                  <a:lumOff val="85000"/>
                </a:schemeClr>
              </a:solidFill>
              <a:round/>
            </a:ln>
            <a:effectLst/>
          </c:spPr>
        </c:majorGridlines>
        <c:numFmt formatCode="[$₹-457]\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4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Dashboard.xlsx]Sheet2!PivotTable12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Payment Mode</a:t>
            </a:r>
            <a:endParaRPr lang="en-US" b="1"/>
          </a:p>
        </c:rich>
      </c:tx>
      <c:layout>
        <c:manualLayout>
          <c:xMode val="edge"/>
          <c:yMode val="edge"/>
          <c:x val="0.30221903945725848"/>
          <c:y val="2.34990839057919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Sheet2!$N$3:$N$4</c:f>
              <c:strCache>
                <c:ptCount val="1"/>
                <c:pt idx="0">
                  <c:v>Sum of quantity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Sheet2!$M$5:$M$9</c:f>
              <c:strCache>
                <c:ptCount val="4"/>
                <c:pt idx="0">
                  <c:v>Cash</c:v>
                </c:pt>
                <c:pt idx="1">
                  <c:v>Credit Card</c:v>
                </c:pt>
                <c:pt idx="2">
                  <c:v>Debit Card</c:v>
                </c:pt>
                <c:pt idx="3">
                  <c:v>UPI</c:v>
                </c:pt>
              </c:strCache>
            </c:strRef>
          </c:cat>
          <c:val>
            <c:numRef>
              <c:f>Sheet2!$N$5:$N$9</c:f>
              <c:numCache>
                <c:formatCode>General</c:formatCode>
                <c:ptCount val="4"/>
                <c:pt idx="0">
                  <c:v>11</c:v>
                </c:pt>
                <c:pt idx="1">
                  <c:v>16</c:v>
                </c:pt>
                <c:pt idx="2">
                  <c:v>13</c:v>
                </c:pt>
                <c:pt idx="3">
                  <c:v>23</c:v>
                </c:pt>
              </c:numCache>
            </c:numRef>
          </c:val>
          <c:extLst>
            <c:ext xmlns:c16="http://schemas.microsoft.com/office/drawing/2014/chart" uri="{C3380CC4-5D6E-409C-BE32-E72D297353CC}">
              <c16:uniqueId val="{00000000-1E41-4C9B-BD98-3C3C281AFFED}"/>
            </c:ext>
          </c:extLst>
        </c:ser>
        <c:ser>
          <c:idx val="1"/>
          <c:order val="1"/>
          <c:tx>
            <c:strRef>
              <c:f>Sheet2!$O$3:$O$4</c:f>
              <c:strCache>
                <c:ptCount val="1"/>
                <c:pt idx="0">
                  <c:v>Sum of revenue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Sheet2!$M$5:$M$9</c:f>
              <c:strCache>
                <c:ptCount val="4"/>
                <c:pt idx="0">
                  <c:v>Cash</c:v>
                </c:pt>
                <c:pt idx="1">
                  <c:v>Credit Card</c:v>
                </c:pt>
                <c:pt idx="2">
                  <c:v>Debit Card</c:v>
                </c:pt>
                <c:pt idx="3">
                  <c:v>UPI</c:v>
                </c:pt>
              </c:strCache>
            </c:strRef>
          </c:cat>
          <c:val>
            <c:numRef>
              <c:f>Sheet2!$O$5:$O$9</c:f>
              <c:numCache>
                <c:formatCode>General</c:formatCode>
                <c:ptCount val="4"/>
                <c:pt idx="0">
                  <c:v>65000</c:v>
                </c:pt>
                <c:pt idx="1">
                  <c:v>151000</c:v>
                </c:pt>
                <c:pt idx="2">
                  <c:v>83000</c:v>
                </c:pt>
                <c:pt idx="3">
                  <c:v>235000</c:v>
                </c:pt>
              </c:numCache>
            </c:numRef>
          </c:val>
          <c:extLst>
            <c:ext xmlns:c16="http://schemas.microsoft.com/office/drawing/2014/chart" uri="{C3380CC4-5D6E-409C-BE32-E72D297353CC}">
              <c16:uniqueId val="{00000001-1E41-4C9B-BD98-3C3C281AFFE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Dashboard.xlsx]Sheet2!PivotTable13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Category and Sub-category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Sheet2!$R$3:$R$4</c:f>
              <c:strCache>
                <c:ptCount val="1"/>
                <c:pt idx="0">
                  <c:v>Accessories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Sheet2!$Q$5:$Q$7</c:f>
              <c:strCache>
                <c:ptCount val="2"/>
                <c:pt idx="0">
                  <c:v>Electronics</c:v>
                </c:pt>
                <c:pt idx="1">
                  <c:v>Furniture</c:v>
                </c:pt>
              </c:strCache>
            </c:strRef>
          </c:cat>
          <c:val>
            <c:numRef>
              <c:f>Sheet2!$R$5:$R$7</c:f>
              <c:numCache>
                <c:formatCode>General</c:formatCode>
                <c:ptCount val="2"/>
                <c:pt idx="0">
                  <c:v>41000</c:v>
                </c:pt>
              </c:numCache>
            </c:numRef>
          </c:val>
          <c:extLst>
            <c:ext xmlns:c16="http://schemas.microsoft.com/office/drawing/2014/chart" uri="{C3380CC4-5D6E-409C-BE32-E72D297353CC}">
              <c16:uniqueId val="{00000000-0FA3-41BC-B7AB-0E5F8C1F4C9A}"/>
            </c:ext>
          </c:extLst>
        </c:ser>
        <c:ser>
          <c:idx val="1"/>
          <c:order val="1"/>
          <c:tx>
            <c:strRef>
              <c:f>Sheet2!$S$3:$S$4</c:f>
              <c:strCache>
                <c:ptCount val="1"/>
                <c:pt idx="0">
                  <c:v>Computers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Sheet2!$Q$5:$Q$7</c:f>
              <c:strCache>
                <c:ptCount val="2"/>
                <c:pt idx="0">
                  <c:v>Electronics</c:v>
                </c:pt>
                <c:pt idx="1">
                  <c:v>Furniture</c:v>
                </c:pt>
              </c:strCache>
            </c:strRef>
          </c:cat>
          <c:val>
            <c:numRef>
              <c:f>Sheet2!$S$5:$S$7</c:f>
              <c:numCache>
                <c:formatCode>General</c:formatCode>
                <c:ptCount val="2"/>
                <c:pt idx="0">
                  <c:v>167000</c:v>
                </c:pt>
              </c:numCache>
            </c:numRef>
          </c:val>
          <c:extLst>
            <c:ext xmlns:c16="http://schemas.microsoft.com/office/drawing/2014/chart" uri="{C3380CC4-5D6E-409C-BE32-E72D297353CC}">
              <c16:uniqueId val="{00000001-0FA3-41BC-B7AB-0E5F8C1F4C9A}"/>
            </c:ext>
          </c:extLst>
        </c:ser>
        <c:ser>
          <c:idx val="2"/>
          <c:order val="2"/>
          <c:tx>
            <c:strRef>
              <c:f>Sheet2!$T$3:$T$4</c:f>
              <c:strCache>
                <c:ptCount val="1"/>
                <c:pt idx="0">
                  <c:v>Displays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Sheet2!$Q$5:$Q$7</c:f>
              <c:strCache>
                <c:ptCount val="2"/>
                <c:pt idx="0">
                  <c:v>Electronics</c:v>
                </c:pt>
                <c:pt idx="1">
                  <c:v>Furniture</c:v>
                </c:pt>
              </c:strCache>
            </c:strRef>
          </c:cat>
          <c:val>
            <c:numRef>
              <c:f>Sheet2!$T$5:$T$7</c:f>
              <c:numCache>
                <c:formatCode>General</c:formatCode>
                <c:ptCount val="2"/>
                <c:pt idx="0">
                  <c:v>50000</c:v>
                </c:pt>
              </c:numCache>
            </c:numRef>
          </c:val>
          <c:extLst>
            <c:ext xmlns:c16="http://schemas.microsoft.com/office/drawing/2014/chart" uri="{C3380CC4-5D6E-409C-BE32-E72D297353CC}">
              <c16:uniqueId val="{00000002-0FA3-41BC-B7AB-0E5F8C1F4C9A}"/>
            </c:ext>
          </c:extLst>
        </c:ser>
        <c:ser>
          <c:idx val="3"/>
          <c:order val="3"/>
          <c:tx>
            <c:strRef>
              <c:f>Sheet2!$U$3:$U$4</c:f>
              <c:strCache>
                <c:ptCount val="1"/>
                <c:pt idx="0">
                  <c:v>Mobile Devices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Sheet2!$Q$5:$Q$7</c:f>
              <c:strCache>
                <c:ptCount val="2"/>
                <c:pt idx="0">
                  <c:v>Electronics</c:v>
                </c:pt>
                <c:pt idx="1">
                  <c:v>Furniture</c:v>
                </c:pt>
              </c:strCache>
            </c:strRef>
          </c:cat>
          <c:val>
            <c:numRef>
              <c:f>Sheet2!$U$5:$U$7</c:f>
              <c:numCache>
                <c:formatCode>General</c:formatCode>
                <c:ptCount val="2"/>
                <c:pt idx="0">
                  <c:v>226000</c:v>
                </c:pt>
              </c:numCache>
            </c:numRef>
          </c:val>
          <c:extLst>
            <c:ext xmlns:c16="http://schemas.microsoft.com/office/drawing/2014/chart" uri="{C3380CC4-5D6E-409C-BE32-E72D297353CC}">
              <c16:uniqueId val="{00000003-0FA3-41BC-B7AB-0E5F8C1F4C9A}"/>
            </c:ext>
          </c:extLst>
        </c:ser>
        <c:ser>
          <c:idx val="4"/>
          <c:order val="4"/>
          <c:tx>
            <c:strRef>
              <c:f>Sheet2!$V$3:$V$4</c:f>
              <c:strCache>
                <c:ptCount val="1"/>
                <c:pt idx="0">
                  <c:v>Office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Sheet2!$Q$5:$Q$7</c:f>
              <c:strCache>
                <c:ptCount val="2"/>
                <c:pt idx="0">
                  <c:v>Electronics</c:v>
                </c:pt>
                <c:pt idx="1">
                  <c:v>Furniture</c:v>
                </c:pt>
              </c:strCache>
            </c:strRef>
          </c:cat>
          <c:val>
            <c:numRef>
              <c:f>Sheet2!$V$5:$V$7</c:f>
              <c:numCache>
                <c:formatCode>General</c:formatCode>
                <c:ptCount val="2"/>
                <c:pt idx="1">
                  <c:v>19000</c:v>
                </c:pt>
              </c:numCache>
            </c:numRef>
          </c:val>
          <c:extLst>
            <c:ext xmlns:c16="http://schemas.microsoft.com/office/drawing/2014/chart" uri="{C3380CC4-5D6E-409C-BE32-E72D297353CC}">
              <c16:uniqueId val="{00000004-0FA3-41BC-B7AB-0E5F8C1F4C9A}"/>
            </c:ext>
          </c:extLst>
        </c:ser>
        <c:ser>
          <c:idx val="5"/>
          <c:order val="5"/>
          <c:tx>
            <c:strRef>
              <c:f>Sheet2!$W$3:$W$4</c:f>
              <c:strCache>
                <c:ptCount val="1"/>
                <c:pt idx="0">
                  <c:v>Seating</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Sheet2!$Q$5:$Q$7</c:f>
              <c:strCache>
                <c:ptCount val="2"/>
                <c:pt idx="0">
                  <c:v>Electronics</c:v>
                </c:pt>
                <c:pt idx="1">
                  <c:v>Furniture</c:v>
                </c:pt>
              </c:strCache>
            </c:strRef>
          </c:cat>
          <c:val>
            <c:numRef>
              <c:f>Sheet2!$W$5:$W$7</c:f>
              <c:numCache>
                <c:formatCode>General</c:formatCode>
                <c:ptCount val="2"/>
                <c:pt idx="1">
                  <c:v>31000</c:v>
                </c:pt>
              </c:numCache>
            </c:numRef>
          </c:val>
          <c:extLst>
            <c:ext xmlns:c16="http://schemas.microsoft.com/office/drawing/2014/chart" uri="{C3380CC4-5D6E-409C-BE32-E72D297353CC}">
              <c16:uniqueId val="{00000005-0FA3-41BC-B7AB-0E5F8C1F4C9A}"/>
            </c:ext>
          </c:extLst>
        </c:ser>
        <c:dLbls>
          <c:dLblPos val="ctr"/>
          <c:showLegendKey val="0"/>
          <c:showVal val="1"/>
          <c:showCatName val="0"/>
          <c:showSerName val="0"/>
          <c:showPercent val="0"/>
          <c:showBubbleSize val="0"/>
        </c:dLbls>
        <c:gapWidth val="150"/>
        <c:overlap val="100"/>
        <c:axId val="345419903"/>
        <c:axId val="345423743"/>
      </c:barChart>
      <c:catAx>
        <c:axId val="34541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423743"/>
        <c:crosses val="autoZero"/>
        <c:auto val="1"/>
        <c:lblAlgn val="ctr"/>
        <c:lblOffset val="100"/>
        <c:noMultiLvlLbl val="0"/>
      </c:catAx>
      <c:valAx>
        <c:axId val="3454237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41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Dashboard.xlsx]Sheet2!PivotTable14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Quantity Sold by City</a:t>
            </a:r>
            <a:endParaRPr lang="en-US" b="1"/>
          </a:p>
        </c:rich>
      </c:tx>
      <c:layout>
        <c:manualLayout>
          <c:xMode val="edge"/>
          <c:yMode val="edge"/>
          <c:x val="0.35638888888888887"/>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Sheet2!$AA$3:$AA$4</c:f>
              <c:strCache>
                <c:ptCount val="1"/>
                <c:pt idx="0">
                  <c:v>Total</c:v>
                </c:pt>
              </c:strCache>
            </c:strRef>
          </c:tx>
          <c:spPr>
            <a:solidFill>
              <a:schemeClr val="accent1"/>
            </a:solidFill>
            <a:ln>
              <a:noFill/>
            </a:ln>
            <a:effectLst/>
            <a:sp3d/>
          </c:spPr>
          <c:invertIfNegative val="0"/>
          <c:cat>
            <c:strRef>
              <c:f>Sheet2!$Z$5:$Z$29</c:f>
              <c:strCache>
                <c:ptCount val="24"/>
                <c:pt idx="0">
                  <c:v>Amritsar</c:v>
                </c:pt>
                <c:pt idx="1">
                  <c:v>Bangalore</c:v>
                </c:pt>
                <c:pt idx="2">
                  <c:v>Chennai</c:v>
                </c:pt>
                <c:pt idx="3">
                  <c:v>Cuttack</c:v>
                </c:pt>
                <c:pt idx="4">
                  <c:v>Dhanbad</c:v>
                </c:pt>
                <c:pt idx="5">
                  <c:v>Gaya</c:v>
                </c:pt>
                <c:pt idx="6">
                  <c:v>Gurgaon</c:v>
                </c:pt>
                <c:pt idx="7">
                  <c:v>Guwahati</c:v>
                </c:pt>
                <c:pt idx="8">
                  <c:v>Haridwar</c:v>
                </c:pt>
                <c:pt idx="9">
                  <c:v>Howrah</c:v>
                </c:pt>
                <c:pt idx="10">
                  <c:v>Hubli</c:v>
                </c:pt>
                <c:pt idx="11">
                  <c:v>Kochi</c:v>
                </c:pt>
                <c:pt idx="12">
                  <c:v>Kota</c:v>
                </c:pt>
                <c:pt idx="13">
                  <c:v>Madurai</c:v>
                </c:pt>
                <c:pt idx="14">
                  <c:v>Manali</c:v>
                </c:pt>
                <c:pt idx="15">
                  <c:v>Mangalore</c:v>
                </c:pt>
                <c:pt idx="16">
                  <c:v>Mumbai</c:v>
                </c:pt>
                <c:pt idx="17">
                  <c:v>Nagpur</c:v>
                </c:pt>
                <c:pt idx="18">
                  <c:v>New Delhi</c:v>
                </c:pt>
                <c:pt idx="19">
                  <c:v>Noida</c:v>
                </c:pt>
                <c:pt idx="20">
                  <c:v>Rajkot</c:v>
                </c:pt>
                <c:pt idx="21">
                  <c:v>Surat</c:v>
                </c:pt>
                <c:pt idx="22">
                  <c:v>Udaipur</c:v>
                </c:pt>
                <c:pt idx="23">
                  <c:v>Warangal</c:v>
                </c:pt>
              </c:strCache>
            </c:strRef>
          </c:cat>
          <c:val>
            <c:numRef>
              <c:f>Sheet2!$AA$5:$AA$29</c:f>
              <c:numCache>
                <c:formatCode>General</c:formatCode>
                <c:ptCount val="24"/>
                <c:pt idx="0">
                  <c:v>2</c:v>
                </c:pt>
                <c:pt idx="1">
                  <c:v>2</c:v>
                </c:pt>
                <c:pt idx="2">
                  <c:v>3</c:v>
                </c:pt>
                <c:pt idx="3">
                  <c:v>3</c:v>
                </c:pt>
                <c:pt idx="4">
                  <c:v>2</c:v>
                </c:pt>
                <c:pt idx="5">
                  <c:v>2</c:v>
                </c:pt>
                <c:pt idx="6">
                  <c:v>4</c:v>
                </c:pt>
                <c:pt idx="7">
                  <c:v>5</c:v>
                </c:pt>
                <c:pt idx="8">
                  <c:v>2</c:v>
                </c:pt>
                <c:pt idx="9">
                  <c:v>2</c:v>
                </c:pt>
                <c:pt idx="10">
                  <c:v>2</c:v>
                </c:pt>
                <c:pt idx="11">
                  <c:v>3</c:v>
                </c:pt>
                <c:pt idx="12">
                  <c:v>2</c:v>
                </c:pt>
                <c:pt idx="13">
                  <c:v>2</c:v>
                </c:pt>
                <c:pt idx="14">
                  <c:v>2</c:v>
                </c:pt>
                <c:pt idx="15">
                  <c:v>2</c:v>
                </c:pt>
                <c:pt idx="16">
                  <c:v>2</c:v>
                </c:pt>
                <c:pt idx="17">
                  <c:v>3</c:v>
                </c:pt>
                <c:pt idx="18">
                  <c:v>3</c:v>
                </c:pt>
                <c:pt idx="19">
                  <c:v>3</c:v>
                </c:pt>
                <c:pt idx="20">
                  <c:v>3</c:v>
                </c:pt>
                <c:pt idx="21">
                  <c:v>3</c:v>
                </c:pt>
                <c:pt idx="22">
                  <c:v>4</c:v>
                </c:pt>
                <c:pt idx="23">
                  <c:v>2</c:v>
                </c:pt>
              </c:numCache>
            </c:numRef>
          </c:val>
          <c:extLst>
            <c:ext xmlns:c16="http://schemas.microsoft.com/office/drawing/2014/chart" uri="{C3380CC4-5D6E-409C-BE32-E72D297353CC}">
              <c16:uniqueId val="{00000000-EA73-43CF-848F-4AEA877A9800}"/>
            </c:ext>
          </c:extLst>
        </c:ser>
        <c:dLbls>
          <c:showLegendKey val="0"/>
          <c:showVal val="0"/>
          <c:showCatName val="0"/>
          <c:showSerName val="0"/>
          <c:showPercent val="0"/>
          <c:showBubbleSize val="0"/>
        </c:dLbls>
        <c:gapWidth val="150"/>
        <c:shape val="box"/>
        <c:axId val="584647407"/>
        <c:axId val="584646927"/>
        <c:axId val="0"/>
      </c:bar3DChart>
      <c:catAx>
        <c:axId val="584647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646927"/>
        <c:crosses val="autoZero"/>
        <c:auto val="1"/>
        <c:lblAlgn val="ctr"/>
        <c:lblOffset val="100"/>
        <c:noMultiLvlLbl val="0"/>
      </c:catAx>
      <c:valAx>
        <c:axId val="584646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64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Dashboard.xlsx]Sheet2!PivotTable17</c:name>
    <c:fmtId val="1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69207495805936"/>
          <c:y val="7.407407407407407E-2"/>
          <c:w val="0.57919619422572177"/>
          <c:h val="0.8416746864975212"/>
        </c:manualLayout>
      </c:layout>
      <c:lineChart>
        <c:grouping val="stacked"/>
        <c:varyColors val="0"/>
        <c:ser>
          <c:idx val="0"/>
          <c:order val="0"/>
          <c:tx>
            <c:strRef>
              <c:f>Sheet2!$AD$11:$AD$12</c:f>
              <c:strCache>
                <c:ptCount val="1"/>
                <c:pt idx="0">
                  <c:v>Sum of revenue2</c:v>
                </c:pt>
              </c:strCache>
            </c:strRef>
          </c:tx>
          <c:spPr>
            <a:ln w="28575" cap="rnd">
              <a:solidFill>
                <a:schemeClr val="accent1"/>
              </a:solidFill>
              <a:round/>
            </a:ln>
            <a:effectLst/>
          </c:spPr>
          <c:marker>
            <c:symbol val="none"/>
          </c:marker>
          <c:cat>
            <c:strRef>
              <c:f>Sheet2!$AC$13:$AC$15</c:f>
              <c:strCache>
                <c:ptCount val="2"/>
                <c:pt idx="0">
                  <c:v>2025</c:v>
                </c:pt>
                <c:pt idx="1">
                  <c:v>2026</c:v>
                </c:pt>
              </c:strCache>
            </c:strRef>
          </c:cat>
          <c:val>
            <c:numRef>
              <c:f>Sheet2!$AD$13:$AD$15</c:f>
              <c:numCache>
                <c:formatCode>General</c:formatCode>
                <c:ptCount val="2"/>
                <c:pt idx="0">
                  <c:v>391000</c:v>
                </c:pt>
                <c:pt idx="1">
                  <c:v>143000</c:v>
                </c:pt>
              </c:numCache>
            </c:numRef>
          </c:val>
          <c:smooth val="0"/>
          <c:extLst>
            <c:ext xmlns:c16="http://schemas.microsoft.com/office/drawing/2014/chart" uri="{C3380CC4-5D6E-409C-BE32-E72D297353CC}">
              <c16:uniqueId val="{00000000-2D7A-4414-835F-F8B9783A5826}"/>
            </c:ext>
          </c:extLst>
        </c:ser>
        <c:ser>
          <c:idx val="1"/>
          <c:order val="1"/>
          <c:tx>
            <c:strRef>
              <c:f>Sheet2!$AE$11:$AE$12</c:f>
              <c:strCache>
                <c:ptCount val="1"/>
                <c:pt idx="0">
                  <c:v>Sum of revenue</c:v>
                </c:pt>
              </c:strCache>
            </c:strRef>
          </c:tx>
          <c:spPr>
            <a:ln w="28575" cap="rnd">
              <a:solidFill>
                <a:schemeClr val="accent2"/>
              </a:solidFill>
              <a:round/>
            </a:ln>
            <a:effectLst/>
          </c:spPr>
          <c:marker>
            <c:symbol val="none"/>
          </c:marker>
          <c:cat>
            <c:strRef>
              <c:f>Sheet2!$AC$13:$AC$15</c:f>
              <c:strCache>
                <c:ptCount val="2"/>
                <c:pt idx="0">
                  <c:v>2025</c:v>
                </c:pt>
                <c:pt idx="1">
                  <c:v>2026</c:v>
                </c:pt>
              </c:strCache>
            </c:strRef>
          </c:cat>
          <c:val>
            <c:numRef>
              <c:f>Sheet2!$AE$13:$AE$15</c:f>
              <c:numCache>
                <c:formatCode>0%</c:formatCode>
                <c:ptCount val="2"/>
                <c:pt idx="0">
                  <c:v>1.7342657342657342</c:v>
                </c:pt>
              </c:numCache>
            </c:numRef>
          </c:val>
          <c:smooth val="0"/>
          <c:extLst>
            <c:ext xmlns:c16="http://schemas.microsoft.com/office/drawing/2014/chart" uri="{C3380CC4-5D6E-409C-BE32-E72D297353CC}">
              <c16:uniqueId val="{00000001-2D7A-4414-835F-F8B9783A5826}"/>
            </c:ext>
          </c:extLst>
        </c:ser>
        <c:dLbls>
          <c:showLegendKey val="0"/>
          <c:showVal val="0"/>
          <c:showCatName val="0"/>
          <c:showSerName val="0"/>
          <c:showPercent val="0"/>
          <c:showBubbleSize val="0"/>
        </c:dLbls>
        <c:smooth val="0"/>
        <c:axId val="590951615"/>
        <c:axId val="590952575"/>
      </c:lineChart>
      <c:catAx>
        <c:axId val="59095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952575"/>
        <c:crosses val="autoZero"/>
        <c:auto val="1"/>
        <c:lblAlgn val="ctr"/>
        <c:lblOffset val="100"/>
        <c:noMultiLvlLbl val="0"/>
      </c:catAx>
      <c:valAx>
        <c:axId val="590952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951615"/>
        <c:crosses val="autoZero"/>
        <c:crossBetween val="between"/>
      </c:valAx>
      <c:spPr>
        <a:noFill/>
        <a:ln>
          <a:noFill/>
        </a:ln>
        <a:effectLst/>
      </c:spPr>
    </c:plotArea>
    <c:legend>
      <c:legendPos val="r"/>
      <c:layout>
        <c:manualLayout>
          <c:xMode val="edge"/>
          <c:yMode val="edge"/>
          <c:x val="0.83811045494313197"/>
          <c:y val="0.42187445319335082"/>
          <c:w val="0.14522287839020126"/>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Dashboard.xlsx]Sheet2!PivotTable8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cap="none" spc="0">
                <a:ln w="0"/>
                <a:solidFill>
                  <a:schemeClr val="accent1"/>
                </a:solidFill>
                <a:effectLst>
                  <a:outerShdw blurRad="38100" dist="25400" dir="5400000" algn="ctr" rotWithShape="0">
                    <a:srgbClr val="6E747A">
                      <a:alpha val="43000"/>
                    </a:srgbClr>
                  </a:outerShdw>
                </a:effectLst>
              </a:rPr>
              <a:t>Monthly Revenue Trend</a:t>
            </a:r>
          </a:p>
        </c:rich>
      </c:tx>
      <c:layout>
        <c:manualLayout>
          <c:xMode val="edge"/>
          <c:yMode val="edge"/>
          <c:x val="0.25935297967110682"/>
          <c:y val="1.98772028496437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52321040298917"/>
          <c:y val="0.2421212973378328"/>
          <c:w val="0.8332941819772528"/>
          <c:h val="0.53774387576552929"/>
        </c:manualLayout>
      </c:layout>
      <c:lineChart>
        <c:grouping val="standard"/>
        <c:varyColors val="0"/>
        <c:ser>
          <c:idx val="0"/>
          <c:order val="0"/>
          <c:tx>
            <c:strRef>
              <c:f>Sheet2!$B$3:$B$4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Sheet2!$A$5:$A$12</c:f>
              <c:strCache>
                <c:ptCount val="7"/>
                <c:pt idx="0">
                  <c:v>January</c:v>
                </c:pt>
                <c:pt idx="1">
                  <c:v>February</c:v>
                </c:pt>
                <c:pt idx="2">
                  <c:v>March</c:v>
                </c:pt>
                <c:pt idx="3">
                  <c:v>April</c:v>
                </c:pt>
                <c:pt idx="4">
                  <c:v>May</c:v>
                </c:pt>
                <c:pt idx="5">
                  <c:v>June</c:v>
                </c:pt>
                <c:pt idx="6">
                  <c:v>July</c:v>
                </c:pt>
              </c:strCache>
            </c:strRef>
          </c:cat>
          <c:val>
            <c:numRef>
              <c:f>Sheet2!$B$5:$B$12</c:f>
              <c:numCache>
                <c:formatCode>[$₹-44C]#,##0</c:formatCode>
                <c:ptCount val="7"/>
                <c:pt idx="0">
                  <c:v>123000</c:v>
                </c:pt>
                <c:pt idx="1">
                  <c:v>117000</c:v>
                </c:pt>
                <c:pt idx="2">
                  <c:v>93000</c:v>
                </c:pt>
                <c:pt idx="3">
                  <c:v>60000</c:v>
                </c:pt>
                <c:pt idx="4">
                  <c:v>45000</c:v>
                </c:pt>
                <c:pt idx="5">
                  <c:v>55000</c:v>
                </c:pt>
                <c:pt idx="6">
                  <c:v>41000</c:v>
                </c:pt>
              </c:numCache>
            </c:numRef>
          </c:val>
          <c:smooth val="0"/>
          <c:extLst>
            <c:ext xmlns:c16="http://schemas.microsoft.com/office/drawing/2014/chart" uri="{C3380CC4-5D6E-409C-BE32-E72D297353CC}">
              <c16:uniqueId val="{00000000-EC00-483D-ABE4-C7723D239347}"/>
            </c:ext>
          </c:extLst>
        </c:ser>
        <c:dLbls>
          <c:showLegendKey val="0"/>
          <c:showVal val="0"/>
          <c:showCatName val="0"/>
          <c:showSerName val="0"/>
          <c:showPercent val="0"/>
          <c:showBubbleSize val="0"/>
        </c:dLbls>
        <c:marker val="1"/>
        <c:smooth val="0"/>
        <c:axId val="351219647"/>
        <c:axId val="351217727"/>
      </c:lineChart>
      <c:catAx>
        <c:axId val="35121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217727"/>
        <c:crosses val="autoZero"/>
        <c:auto val="1"/>
        <c:lblAlgn val="ctr"/>
        <c:lblOffset val="100"/>
        <c:noMultiLvlLbl val="0"/>
      </c:catAx>
      <c:valAx>
        <c:axId val="351217727"/>
        <c:scaling>
          <c:orientation val="minMax"/>
        </c:scaling>
        <c:delete val="0"/>
        <c:axPos val="l"/>
        <c:majorGridlines>
          <c:spPr>
            <a:ln w="9525" cap="flat" cmpd="sng" algn="ctr">
              <a:solidFill>
                <a:schemeClr val="tx1">
                  <a:lumMod val="15000"/>
                  <a:lumOff val="85000"/>
                </a:schemeClr>
              </a:solidFill>
              <a:round/>
            </a:ln>
            <a:effectLst/>
          </c:spPr>
        </c:majorGridlines>
        <c:numFmt formatCode="[$₹-44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219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Performance Dashboard.xlsx]Sheet2!PivotTable9</c:name>
    <c:fmtId val="16"/>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US" b="0" cap="none" spc="0">
                <a:ln w="0"/>
                <a:solidFill>
                  <a:schemeClr val="accent1"/>
                </a:solidFill>
                <a:effectLst>
                  <a:outerShdw blurRad="38100" dist="25400" dir="5400000" algn="ctr" rotWithShape="0">
                    <a:srgbClr val="6E747A">
                      <a:alpha val="43000"/>
                    </a:srgbClr>
                  </a:outerShdw>
                </a:effectLst>
              </a:rPr>
              <a:t>Revenue by Sales Zone</a:t>
            </a:r>
          </a:p>
        </c:rich>
      </c:tx>
      <c:layout>
        <c:manualLayout>
          <c:xMode val="edge"/>
          <c:yMode val="edge"/>
          <c:x val="0.16359172568106767"/>
          <c:y val="0.11267297209150631"/>
        </c:manualLayout>
      </c:layout>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solidFill>
              <a:schemeClr val="accent5">
                <a:lumMod val="75000"/>
              </a:schemeClr>
            </a:solidFill>
          </a:ln>
          <a:effectLst/>
          <a:scene3d>
            <a:camera prst="orthographicFront"/>
            <a:lightRig rig="threePt" dir="t"/>
          </a:scene3d>
          <a:sp3d prstMaterial="translucentPowder">
            <a:contourClr>
              <a:schemeClr val="accent5">
                <a:lumMod val="75000"/>
              </a:schemeClr>
            </a:contourClr>
          </a:sp3d>
        </c:spPr>
        <c:marker>
          <c:symbol val="circle"/>
          <c:size val="6"/>
          <c:spPr>
            <a:solidFill>
              <a:schemeClr val="accent5">
                <a:alpha val="70000"/>
              </a:schemeClr>
            </a:solidFill>
            <a:ln>
              <a:solidFill>
                <a:schemeClr val="accent5">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Sheet2!$E$3:$E$4</c:f>
              <c:strCache>
                <c:ptCount val="1"/>
                <c:pt idx="0">
                  <c:v>Total</c:v>
                </c:pt>
              </c:strCache>
            </c:strRef>
          </c:tx>
          <c:spPr>
            <a:solidFill>
              <a:schemeClr val="accent5"/>
            </a:solidFill>
            <a:ln>
              <a:solidFill>
                <a:schemeClr val="accent5">
                  <a:lumMod val="75000"/>
                </a:schemeClr>
              </a:solidFill>
            </a:ln>
            <a:effectLst/>
            <a:scene3d>
              <a:camera prst="orthographicFront"/>
              <a:lightRig rig="threePt" dir="t"/>
            </a:scene3d>
            <a:sp3d prstMaterial="translucentPowder">
              <a:contourClr>
                <a:schemeClr val="accent5">
                  <a:lumMod val="75000"/>
                </a:schemeClr>
              </a:contourClr>
            </a:sp3d>
          </c:spPr>
          <c:invertIfNegative val="0"/>
          <c:cat>
            <c:strRef>
              <c:f>Sheet2!$D$5:$D$9</c:f>
              <c:strCache>
                <c:ptCount val="4"/>
                <c:pt idx="0">
                  <c:v>East</c:v>
                </c:pt>
                <c:pt idx="1">
                  <c:v>North</c:v>
                </c:pt>
                <c:pt idx="2">
                  <c:v>South</c:v>
                </c:pt>
                <c:pt idx="3">
                  <c:v>West</c:v>
                </c:pt>
              </c:strCache>
            </c:strRef>
          </c:cat>
          <c:val>
            <c:numRef>
              <c:f>Sheet2!$E$5:$E$9</c:f>
              <c:numCache>
                <c:formatCode>[$₹-44C]#,##0</c:formatCode>
                <c:ptCount val="4"/>
                <c:pt idx="0">
                  <c:v>80000</c:v>
                </c:pt>
                <c:pt idx="1">
                  <c:v>119000</c:v>
                </c:pt>
                <c:pt idx="2">
                  <c:v>200000</c:v>
                </c:pt>
                <c:pt idx="3">
                  <c:v>135000</c:v>
                </c:pt>
              </c:numCache>
            </c:numRef>
          </c:val>
          <c:extLst>
            <c:ext xmlns:c16="http://schemas.microsoft.com/office/drawing/2014/chart" uri="{C3380CC4-5D6E-409C-BE32-E72D297353CC}">
              <c16:uniqueId val="{00000000-CC6B-4D2F-B441-529B1943250F}"/>
            </c:ext>
          </c:extLst>
        </c:ser>
        <c:dLbls>
          <c:showLegendKey val="0"/>
          <c:showVal val="0"/>
          <c:showCatName val="0"/>
          <c:showSerName val="0"/>
          <c:showPercent val="0"/>
          <c:showBubbleSize val="0"/>
        </c:dLbls>
        <c:gapWidth val="150"/>
        <c:shape val="box"/>
        <c:axId val="479612143"/>
        <c:axId val="479608303"/>
        <c:axId val="0"/>
      </c:bar3DChart>
      <c:catAx>
        <c:axId val="4796121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79608303"/>
        <c:crosses val="autoZero"/>
        <c:auto val="1"/>
        <c:lblAlgn val="ctr"/>
        <c:lblOffset val="100"/>
        <c:noMultiLvlLbl val="0"/>
      </c:catAx>
      <c:valAx>
        <c:axId val="479608303"/>
        <c:scaling>
          <c:orientation val="minMax"/>
        </c:scaling>
        <c:delete val="0"/>
        <c:axPos val="l"/>
        <c:majorGridlines>
          <c:spPr>
            <a:ln w="9525" cap="flat" cmpd="sng" algn="ctr">
              <a:solidFill>
                <a:schemeClr val="tx1">
                  <a:lumMod val="5000"/>
                  <a:lumOff val="95000"/>
                </a:schemeClr>
              </a:solidFill>
              <a:round/>
            </a:ln>
            <a:effectLst/>
          </c:spPr>
        </c:majorGridlines>
        <c:numFmt formatCode="[$₹-44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7961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Dashboard.xlsx]Sheet2!PivotTable11</c:name>
    <c:fmtId val="7"/>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0" cap="none" spc="0">
                <a:ln w="0"/>
                <a:solidFill>
                  <a:schemeClr val="accent1"/>
                </a:solidFill>
                <a:effectLst>
                  <a:outerShdw blurRad="38100" dist="25400" dir="5400000" algn="ctr" rotWithShape="0">
                    <a:srgbClr val="6E747A">
                      <a:alpha val="43000"/>
                    </a:srgbClr>
                  </a:outerShdw>
                </a:effectLst>
              </a:rPr>
              <a:t>Sales by Salesman</a:t>
            </a:r>
          </a:p>
        </c:rich>
      </c:tx>
      <c:layout>
        <c:manualLayout>
          <c:xMode val="edge"/>
          <c:yMode val="edge"/>
          <c:x val="0.23270309002785694"/>
          <c:y val="6.9018088955096826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69993398064507"/>
          <c:y val="0.24939604171100235"/>
          <c:w val="0.71123381452318457"/>
          <c:h val="0.53774387576552929"/>
        </c:manualLayout>
      </c:layout>
      <c:barChart>
        <c:barDir val="col"/>
        <c:grouping val="clustered"/>
        <c:varyColors val="0"/>
        <c:ser>
          <c:idx val="0"/>
          <c:order val="0"/>
          <c:tx>
            <c:strRef>
              <c:f>Sheet2!$K$3:$K$4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Sheet2!$J$5:$J$9</c:f>
              <c:strCache>
                <c:ptCount val="4"/>
                <c:pt idx="0">
                  <c:v>Anita</c:v>
                </c:pt>
                <c:pt idx="1">
                  <c:v>Arjun</c:v>
                </c:pt>
                <c:pt idx="2">
                  <c:v>Rahul</c:v>
                </c:pt>
                <c:pt idx="3">
                  <c:v>Sneha</c:v>
                </c:pt>
              </c:strCache>
            </c:strRef>
          </c:cat>
          <c:val>
            <c:numRef>
              <c:f>Sheet2!$K$5:$K$9</c:f>
              <c:numCache>
                <c:formatCode>[$₹-457]\ #,##0</c:formatCode>
                <c:ptCount val="4"/>
                <c:pt idx="0">
                  <c:v>135000</c:v>
                </c:pt>
                <c:pt idx="1">
                  <c:v>80000</c:v>
                </c:pt>
                <c:pt idx="2">
                  <c:v>119000</c:v>
                </c:pt>
                <c:pt idx="3">
                  <c:v>200000</c:v>
                </c:pt>
              </c:numCache>
            </c:numRef>
          </c:val>
          <c:extLst>
            <c:ext xmlns:c16="http://schemas.microsoft.com/office/drawing/2014/chart" uri="{C3380CC4-5D6E-409C-BE32-E72D297353CC}">
              <c16:uniqueId val="{00000000-7EA0-40C5-A052-25A5EF486945}"/>
            </c:ext>
          </c:extLst>
        </c:ser>
        <c:dLbls>
          <c:dLblPos val="outEnd"/>
          <c:showLegendKey val="0"/>
          <c:showVal val="1"/>
          <c:showCatName val="0"/>
          <c:showSerName val="0"/>
          <c:showPercent val="0"/>
          <c:showBubbleSize val="0"/>
        </c:dLbls>
        <c:gapWidth val="199"/>
        <c:axId val="155746863"/>
        <c:axId val="155743503"/>
      </c:barChart>
      <c:catAx>
        <c:axId val="15574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5743503"/>
        <c:crosses val="autoZero"/>
        <c:auto val="1"/>
        <c:lblAlgn val="ctr"/>
        <c:lblOffset val="100"/>
        <c:noMultiLvlLbl val="0"/>
      </c:catAx>
      <c:valAx>
        <c:axId val="155743503"/>
        <c:scaling>
          <c:orientation val="minMax"/>
        </c:scaling>
        <c:delete val="0"/>
        <c:axPos val="l"/>
        <c:numFmt formatCode="[$₹-457]\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4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Dashboard.xlsx]Sheet2!PivotTable13</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400" b="0" cap="none" spc="0">
                <a:ln w="0"/>
                <a:solidFill>
                  <a:schemeClr val="accent1"/>
                </a:solidFill>
                <a:effectLst>
                  <a:outerShdw blurRad="38100" dist="25400" dir="5400000" algn="ctr" rotWithShape="0">
                    <a:srgbClr val="6E747A">
                      <a:alpha val="43000"/>
                    </a:srgbClr>
                  </a:outerShdw>
                </a:effectLst>
              </a:rPr>
              <a:t>Category and Sub-category</a:t>
            </a:r>
          </a:p>
        </c:rich>
      </c:tx>
      <c:layout>
        <c:manualLayout>
          <c:xMode val="edge"/>
          <c:yMode val="edge"/>
          <c:x val="0.2140104166666667"/>
          <c:y val="8.5308120541941673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Sheet2!$R$3:$R$4</c:f>
              <c:strCache>
                <c:ptCount val="1"/>
                <c:pt idx="0">
                  <c:v>Accessories</c:v>
                </c:pt>
              </c:strCache>
            </c:strRef>
          </c:tx>
          <c:spPr>
            <a:solidFill>
              <a:schemeClr val="accent1"/>
            </a:solidFill>
            <a:ln>
              <a:noFill/>
            </a:ln>
            <a:effectLst/>
          </c:spPr>
          <c:invertIfNegative val="0"/>
          <c:cat>
            <c:strRef>
              <c:f>Sheet2!$Q$5:$Q$7</c:f>
              <c:strCache>
                <c:ptCount val="2"/>
                <c:pt idx="0">
                  <c:v>Electronics</c:v>
                </c:pt>
                <c:pt idx="1">
                  <c:v>Furniture</c:v>
                </c:pt>
              </c:strCache>
            </c:strRef>
          </c:cat>
          <c:val>
            <c:numRef>
              <c:f>Sheet2!$R$5:$R$7</c:f>
              <c:numCache>
                <c:formatCode>General</c:formatCode>
                <c:ptCount val="2"/>
                <c:pt idx="0">
                  <c:v>41000</c:v>
                </c:pt>
              </c:numCache>
            </c:numRef>
          </c:val>
          <c:extLst>
            <c:ext xmlns:c16="http://schemas.microsoft.com/office/drawing/2014/chart" uri="{C3380CC4-5D6E-409C-BE32-E72D297353CC}">
              <c16:uniqueId val="{00000000-F5D9-489C-BA45-A85A182DCD67}"/>
            </c:ext>
          </c:extLst>
        </c:ser>
        <c:ser>
          <c:idx val="1"/>
          <c:order val="1"/>
          <c:tx>
            <c:strRef>
              <c:f>Sheet2!$S$3:$S$4</c:f>
              <c:strCache>
                <c:ptCount val="1"/>
                <c:pt idx="0">
                  <c:v>Computers</c:v>
                </c:pt>
              </c:strCache>
            </c:strRef>
          </c:tx>
          <c:spPr>
            <a:solidFill>
              <a:schemeClr val="accent2"/>
            </a:solidFill>
            <a:ln>
              <a:noFill/>
            </a:ln>
            <a:effectLst/>
          </c:spPr>
          <c:invertIfNegative val="0"/>
          <c:cat>
            <c:strRef>
              <c:f>Sheet2!$Q$5:$Q$7</c:f>
              <c:strCache>
                <c:ptCount val="2"/>
                <c:pt idx="0">
                  <c:v>Electronics</c:v>
                </c:pt>
                <c:pt idx="1">
                  <c:v>Furniture</c:v>
                </c:pt>
              </c:strCache>
            </c:strRef>
          </c:cat>
          <c:val>
            <c:numRef>
              <c:f>Sheet2!$S$5:$S$7</c:f>
              <c:numCache>
                <c:formatCode>General</c:formatCode>
                <c:ptCount val="2"/>
                <c:pt idx="0">
                  <c:v>167000</c:v>
                </c:pt>
              </c:numCache>
            </c:numRef>
          </c:val>
          <c:extLst>
            <c:ext xmlns:c16="http://schemas.microsoft.com/office/drawing/2014/chart" uri="{C3380CC4-5D6E-409C-BE32-E72D297353CC}">
              <c16:uniqueId val="{00000001-F5D9-489C-BA45-A85A182DCD67}"/>
            </c:ext>
          </c:extLst>
        </c:ser>
        <c:ser>
          <c:idx val="2"/>
          <c:order val="2"/>
          <c:tx>
            <c:strRef>
              <c:f>Sheet2!$T$3:$T$4</c:f>
              <c:strCache>
                <c:ptCount val="1"/>
                <c:pt idx="0">
                  <c:v>Displays</c:v>
                </c:pt>
              </c:strCache>
            </c:strRef>
          </c:tx>
          <c:spPr>
            <a:solidFill>
              <a:schemeClr val="accent3"/>
            </a:solidFill>
            <a:ln>
              <a:noFill/>
            </a:ln>
            <a:effectLst/>
          </c:spPr>
          <c:invertIfNegative val="0"/>
          <c:cat>
            <c:strRef>
              <c:f>Sheet2!$Q$5:$Q$7</c:f>
              <c:strCache>
                <c:ptCount val="2"/>
                <c:pt idx="0">
                  <c:v>Electronics</c:v>
                </c:pt>
                <c:pt idx="1">
                  <c:v>Furniture</c:v>
                </c:pt>
              </c:strCache>
            </c:strRef>
          </c:cat>
          <c:val>
            <c:numRef>
              <c:f>Sheet2!$T$5:$T$7</c:f>
              <c:numCache>
                <c:formatCode>General</c:formatCode>
                <c:ptCount val="2"/>
                <c:pt idx="0">
                  <c:v>50000</c:v>
                </c:pt>
              </c:numCache>
            </c:numRef>
          </c:val>
          <c:extLst>
            <c:ext xmlns:c16="http://schemas.microsoft.com/office/drawing/2014/chart" uri="{C3380CC4-5D6E-409C-BE32-E72D297353CC}">
              <c16:uniqueId val="{00000002-F5D9-489C-BA45-A85A182DCD67}"/>
            </c:ext>
          </c:extLst>
        </c:ser>
        <c:ser>
          <c:idx val="3"/>
          <c:order val="3"/>
          <c:tx>
            <c:strRef>
              <c:f>Sheet2!$U$3:$U$4</c:f>
              <c:strCache>
                <c:ptCount val="1"/>
                <c:pt idx="0">
                  <c:v>Mobile Devices</c:v>
                </c:pt>
              </c:strCache>
            </c:strRef>
          </c:tx>
          <c:spPr>
            <a:solidFill>
              <a:schemeClr val="accent4"/>
            </a:solidFill>
            <a:ln>
              <a:noFill/>
            </a:ln>
            <a:effectLst/>
          </c:spPr>
          <c:invertIfNegative val="0"/>
          <c:cat>
            <c:strRef>
              <c:f>Sheet2!$Q$5:$Q$7</c:f>
              <c:strCache>
                <c:ptCount val="2"/>
                <c:pt idx="0">
                  <c:v>Electronics</c:v>
                </c:pt>
                <c:pt idx="1">
                  <c:v>Furniture</c:v>
                </c:pt>
              </c:strCache>
            </c:strRef>
          </c:cat>
          <c:val>
            <c:numRef>
              <c:f>Sheet2!$U$5:$U$7</c:f>
              <c:numCache>
                <c:formatCode>General</c:formatCode>
                <c:ptCount val="2"/>
                <c:pt idx="0">
                  <c:v>226000</c:v>
                </c:pt>
              </c:numCache>
            </c:numRef>
          </c:val>
          <c:extLst>
            <c:ext xmlns:c16="http://schemas.microsoft.com/office/drawing/2014/chart" uri="{C3380CC4-5D6E-409C-BE32-E72D297353CC}">
              <c16:uniqueId val="{00000003-F5D9-489C-BA45-A85A182DCD67}"/>
            </c:ext>
          </c:extLst>
        </c:ser>
        <c:ser>
          <c:idx val="4"/>
          <c:order val="4"/>
          <c:tx>
            <c:strRef>
              <c:f>Sheet2!$V$3:$V$4</c:f>
              <c:strCache>
                <c:ptCount val="1"/>
                <c:pt idx="0">
                  <c:v>Office</c:v>
                </c:pt>
              </c:strCache>
            </c:strRef>
          </c:tx>
          <c:spPr>
            <a:solidFill>
              <a:schemeClr val="accent5"/>
            </a:solidFill>
            <a:ln>
              <a:noFill/>
            </a:ln>
            <a:effectLst/>
          </c:spPr>
          <c:invertIfNegative val="0"/>
          <c:cat>
            <c:strRef>
              <c:f>Sheet2!$Q$5:$Q$7</c:f>
              <c:strCache>
                <c:ptCount val="2"/>
                <c:pt idx="0">
                  <c:v>Electronics</c:v>
                </c:pt>
                <c:pt idx="1">
                  <c:v>Furniture</c:v>
                </c:pt>
              </c:strCache>
            </c:strRef>
          </c:cat>
          <c:val>
            <c:numRef>
              <c:f>Sheet2!$V$5:$V$7</c:f>
              <c:numCache>
                <c:formatCode>General</c:formatCode>
                <c:ptCount val="2"/>
                <c:pt idx="1">
                  <c:v>19000</c:v>
                </c:pt>
              </c:numCache>
            </c:numRef>
          </c:val>
          <c:extLst>
            <c:ext xmlns:c16="http://schemas.microsoft.com/office/drawing/2014/chart" uri="{C3380CC4-5D6E-409C-BE32-E72D297353CC}">
              <c16:uniqueId val="{00000004-F5D9-489C-BA45-A85A182DCD67}"/>
            </c:ext>
          </c:extLst>
        </c:ser>
        <c:ser>
          <c:idx val="5"/>
          <c:order val="5"/>
          <c:tx>
            <c:strRef>
              <c:f>Sheet2!$W$3:$W$4</c:f>
              <c:strCache>
                <c:ptCount val="1"/>
                <c:pt idx="0">
                  <c:v>Seating</c:v>
                </c:pt>
              </c:strCache>
            </c:strRef>
          </c:tx>
          <c:spPr>
            <a:solidFill>
              <a:schemeClr val="accent6"/>
            </a:solidFill>
            <a:ln>
              <a:noFill/>
            </a:ln>
            <a:effectLst/>
          </c:spPr>
          <c:invertIfNegative val="0"/>
          <c:cat>
            <c:strRef>
              <c:f>Sheet2!$Q$5:$Q$7</c:f>
              <c:strCache>
                <c:ptCount val="2"/>
                <c:pt idx="0">
                  <c:v>Electronics</c:v>
                </c:pt>
                <c:pt idx="1">
                  <c:v>Furniture</c:v>
                </c:pt>
              </c:strCache>
            </c:strRef>
          </c:cat>
          <c:val>
            <c:numRef>
              <c:f>Sheet2!$W$5:$W$7</c:f>
              <c:numCache>
                <c:formatCode>General</c:formatCode>
                <c:ptCount val="2"/>
                <c:pt idx="1">
                  <c:v>31000</c:v>
                </c:pt>
              </c:numCache>
            </c:numRef>
          </c:val>
          <c:extLst>
            <c:ext xmlns:c16="http://schemas.microsoft.com/office/drawing/2014/chart" uri="{C3380CC4-5D6E-409C-BE32-E72D297353CC}">
              <c16:uniqueId val="{00000005-F5D9-489C-BA45-A85A182DCD67}"/>
            </c:ext>
          </c:extLst>
        </c:ser>
        <c:dLbls>
          <c:dLblPos val="ctr"/>
          <c:showLegendKey val="0"/>
          <c:showVal val="0"/>
          <c:showCatName val="0"/>
          <c:showSerName val="0"/>
          <c:showPercent val="0"/>
          <c:showBubbleSize val="0"/>
        </c:dLbls>
        <c:gapWidth val="150"/>
        <c:overlap val="100"/>
        <c:axId val="345419903"/>
        <c:axId val="345423743"/>
      </c:barChart>
      <c:catAx>
        <c:axId val="34541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45423743"/>
        <c:crosses val="autoZero"/>
        <c:auto val="1"/>
        <c:lblAlgn val="ctr"/>
        <c:lblOffset val="100"/>
        <c:noMultiLvlLbl val="0"/>
      </c:catAx>
      <c:valAx>
        <c:axId val="34542374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419903"/>
        <c:crosses val="autoZero"/>
        <c:crossBetween val="between"/>
      </c:valAx>
      <c:spPr>
        <a:noFill/>
        <a:ln>
          <a:noFill/>
        </a:ln>
        <a:effectLst/>
      </c:spPr>
    </c:plotArea>
    <c:legend>
      <c:legendPos val="r"/>
      <c:layout>
        <c:manualLayout>
          <c:xMode val="edge"/>
          <c:yMode val="edge"/>
          <c:x val="0.73074814627763363"/>
          <c:y val="0.49266277042469359"/>
          <c:w val="0.23426643098184155"/>
          <c:h val="0.432745059950485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Dashboard.xlsx]Sheet2!PivotTable12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cap="none" spc="0" baseline="0">
                <a:ln w="0"/>
                <a:solidFill>
                  <a:schemeClr val="accent1"/>
                </a:solidFill>
                <a:effectLst>
                  <a:outerShdw blurRad="38100" dist="25400" dir="5400000" algn="ctr" rotWithShape="0">
                    <a:srgbClr val="6E747A">
                      <a:alpha val="43000"/>
                    </a:srgbClr>
                  </a:outerShdw>
                </a:effectLst>
              </a:rPr>
              <a:t>Payment Mode</a:t>
            </a:r>
            <a:endParaRPr lang="en-US" b="0" cap="none" spc="0">
              <a:ln w="0"/>
              <a:solidFill>
                <a:schemeClr val="accent1"/>
              </a:solidFill>
              <a:effectLst>
                <a:outerShdw blurRad="38100" dist="25400" dir="5400000" algn="ctr" rotWithShape="0">
                  <a:srgbClr val="6E747A">
                    <a:alpha val="43000"/>
                  </a:srgbClr>
                </a:outerShdw>
              </a:effectLst>
            </a:endParaRPr>
          </a:p>
        </c:rich>
      </c:tx>
      <c:layout>
        <c:manualLayout>
          <c:xMode val="edge"/>
          <c:yMode val="edge"/>
          <c:x val="0.21381607203405795"/>
          <c:y val="0.1188559122417390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manualLayout>
          <c:layoutTarget val="inner"/>
          <c:xMode val="edge"/>
          <c:yMode val="edge"/>
          <c:x val="0.18889575405945072"/>
          <c:y val="0.30846153846153851"/>
          <c:w val="0.32971291866028707"/>
          <c:h val="0.58897435897435901"/>
        </c:manualLayout>
      </c:layout>
      <c:pieChart>
        <c:varyColors val="1"/>
        <c:ser>
          <c:idx val="0"/>
          <c:order val="0"/>
          <c:tx>
            <c:strRef>
              <c:f>Sheet2!$N$3:$N$4</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E4-4F66-B6D3-9B135FD184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E4-4F66-B6D3-9B135FD184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E4-4F66-B6D3-9B135FD184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E4-4F66-B6D3-9B135FD1845E}"/>
              </c:ext>
            </c:extLst>
          </c:dPt>
          <c:cat>
            <c:strRef>
              <c:f>Sheet2!$M$5:$M$9</c:f>
              <c:strCache>
                <c:ptCount val="4"/>
                <c:pt idx="0">
                  <c:v>Cash</c:v>
                </c:pt>
                <c:pt idx="1">
                  <c:v>Credit Card</c:v>
                </c:pt>
                <c:pt idx="2">
                  <c:v>Debit Card</c:v>
                </c:pt>
                <c:pt idx="3">
                  <c:v>UPI</c:v>
                </c:pt>
              </c:strCache>
            </c:strRef>
          </c:cat>
          <c:val>
            <c:numRef>
              <c:f>Sheet2!$N$5:$N$9</c:f>
              <c:numCache>
                <c:formatCode>General</c:formatCode>
                <c:ptCount val="4"/>
                <c:pt idx="0">
                  <c:v>11</c:v>
                </c:pt>
                <c:pt idx="1">
                  <c:v>16</c:v>
                </c:pt>
                <c:pt idx="2">
                  <c:v>13</c:v>
                </c:pt>
                <c:pt idx="3">
                  <c:v>23</c:v>
                </c:pt>
              </c:numCache>
            </c:numRef>
          </c:val>
          <c:extLst>
            <c:ext xmlns:c16="http://schemas.microsoft.com/office/drawing/2014/chart" uri="{C3380CC4-5D6E-409C-BE32-E72D297353CC}">
              <c16:uniqueId val="{00000008-07E4-4F66-B6D3-9B135FD1845E}"/>
            </c:ext>
          </c:extLst>
        </c:ser>
        <c:ser>
          <c:idx val="1"/>
          <c:order val="1"/>
          <c:tx>
            <c:strRef>
              <c:f>Sheet2!$O$3:$O$4</c:f>
              <c:strCache>
                <c:ptCount val="1"/>
                <c:pt idx="0">
                  <c:v>Sum of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07E4-4F66-B6D3-9B135FD184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07E4-4F66-B6D3-9B135FD184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07E4-4F66-B6D3-9B135FD184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07E4-4F66-B6D3-9B135FD1845E}"/>
              </c:ext>
            </c:extLst>
          </c:dPt>
          <c:cat>
            <c:strRef>
              <c:f>Sheet2!$M$5:$M$9</c:f>
              <c:strCache>
                <c:ptCount val="4"/>
                <c:pt idx="0">
                  <c:v>Cash</c:v>
                </c:pt>
                <c:pt idx="1">
                  <c:v>Credit Card</c:v>
                </c:pt>
                <c:pt idx="2">
                  <c:v>Debit Card</c:v>
                </c:pt>
                <c:pt idx="3">
                  <c:v>UPI</c:v>
                </c:pt>
              </c:strCache>
            </c:strRef>
          </c:cat>
          <c:val>
            <c:numRef>
              <c:f>Sheet2!$O$5:$O$9</c:f>
              <c:numCache>
                <c:formatCode>General</c:formatCode>
                <c:ptCount val="4"/>
                <c:pt idx="0">
                  <c:v>65000</c:v>
                </c:pt>
                <c:pt idx="1">
                  <c:v>151000</c:v>
                </c:pt>
                <c:pt idx="2">
                  <c:v>83000</c:v>
                </c:pt>
                <c:pt idx="3">
                  <c:v>235000</c:v>
                </c:pt>
              </c:numCache>
            </c:numRef>
          </c:val>
          <c:extLst>
            <c:ext xmlns:c16="http://schemas.microsoft.com/office/drawing/2014/chart" uri="{C3380CC4-5D6E-409C-BE32-E72D297353CC}">
              <c16:uniqueId val="{00000011-07E4-4F66-B6D3-9B135FD1845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0116167297269651"/>
          <c:y val="0.30916796690736237"/>
          <c:w val="0.23433616252513889"/>
          <c:h val="0.511525091621611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Dashboard.xlsx]Sheet2!PivotTable14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cap="none" spc="0">
                <a:ln w="0"/>
                <a:solidFill>
                  <a:schemeClr val="accent1"/>
                </a:solidFill>
                <a:effectLst>
                  <a:outerShdw blurRad="38100" dist="25400" dir="5400000" algn="ctr" rotWithShape="0">
                    <a:srgbClr val="6E747A">
                      <a:alpha val="43000"/>
                    </a:srgbClr>
                  </a:outerShdw>
                </a:effectLst>
              </a:rPr>
              <a:t>Quantity Sold by City</a:t>
            </a:r>
          </a:p>
        </c:rich>
      </c:tx>
      <c:layout>
        <c:manualLayout>
          <c:xMode val="edge"/>
          <c:yMode val="edge"/>
          <c:x val="0.11466006331692945"/>
          <c:y val="0.105638238882111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Sheet2!$AA$3:$AA$4</c:f>
              <c:strCache>
                <c:ptCount val="1"/>
                <c:pt idx="0">
                  <c:v>Total</c:v>
                </c:pt>
              </c:strCache>
            </c:strRef>
          </c:tx>
          <c:spPr>
            <a:solidFill>
              <a:schemeClr val="accent1"/>
            </a:solidFill>
            <a:ln>
              <a:noFill/>
            </a:ln>
            <a:effectLst/>
            <a:sp3d/>
          </c:spPr>
          <c:invertIfNegative val="0"/>
          <c:cat>
            <c:strRef>
              <c:f>Sheet2!$Z$5:$Z$29</c:f>
              <c:strCache>
                <c:ptCount val="24"/>
                <c:pt idx="0">
                  <c:v>Amritsar</c:v>
                </c:pt>
                <c:pt idx="1">
                  <c:v>Bangalore</c:v>
                </c:pt>
                <c:pt idx="2">
                  <c:v>Chennai</c:v>
                </c:pt>
                <c:pt idx="3">
                  <c:v>Cuttack</c:v>
                </c:pt>
                <c:pt idx="4">
                  <c:v>Dhanbad</c:v>
                </c:pt>
                <c:pt idx="5">
                  <c:v>Gaya</c:v>
                </c:pt>
                <c:pt idx="6">
                  <c:v>Gurgaon</c:v>
                </c:pt>
                <c:pt idx="7">
                  <c:v>Guwahati</c:v>
                </c:pt>
                <c:pt idx="8">
                  <c:v>Haridwar</c:v>
                </c:pt>
                <c:pt idx="9">
                  <c:v>Howrah</c:v>
                </c:pt>
                <c:pt idx="10">
                  <c:v>Hubli</c:v>
                </c:pt>
                <c:pt idx="11">
                  <c:v>Kochi</c:v>
                </c:pt>
                <c:pt idx="12">
                  <c:v>Kota</c:v>
                </c:pt>
                <c:pt idx="13">
                  <c:v>Madurai</c:v>
                </c:pt>
                <c:pt idx="14">
                  <c:v>Manali</c:v>
                </c:pt>
                <c:pt idx="15">
                  <c:v>Mangalore</c:v>
                </c:pt>
                <c:pt idx="16">
                  <c:v>Mumbai</c:v>
                </c:pt>
                <c:pt idx="17">
                  <c:v>Nagpur</c:v>
                </c:pt>
                <c:pt idx="18">
                  <c:v>New Delhi</c:v>
                </c:pt>
                <c:pt idx="19">
                  <c:v>Noida</c:v>
                </c:pt>
                <c:pt idx="20">
                  <c:v>Rajkot</c:v>
                </c:pt>
                <c:pt idx="21">
                  <c:v>Surat</c:v>
                </c:pt>
                <c:pt idx="22">
                  <c:v>Udaipur</c:v>
                </c:pt>
                <c:pt idx="23">
                  <c:v>Warangal</c:v>
                </c:pt>
              </c:strCache>
            </c:strRef>
          </c:cat>
          <c:val>
            <c:numRef>
              <c:f>Sheet2!$AA$5:$AA$29</c:f>
              <c:numCache>
                <c:formatCode>General</c:formatCode>
                <c:ptCount val="24"/>
                <c:pt idx="0">
                  <c:v>2</c:v>
                </c:pt>
                <c:pt idx="1">
                  <c:v>2</c:v>
                </c:pt>
                <c:pt idx="2">
                  <c:v>3</c:v>
                </c:pt>
                <c:pt idx="3">
                  <c:v>3</c:v>
                </c:pt>
                <c:pt idx="4">
                  <c:v>2</c:v>
                </c:pt>
                <c:pt idx="5">
                  <c:v>2</c:v>
                </c:pt>
                <c:pt idx="6">
                  <c:v>4</c:v>
                </c:pt>
                <c:pt idx="7">
                  <c:v>5</c:v>
                </c:pt>
                <c:pt idx="8">
                  <c:v>2</c:v>
                </c:pt>
                <c:pt idx="9">
                  <c:v>2</c:v>
                </c:pt>
                <c:pt idx="10">
                  <c:v>2</c:v>
                </c:pt>
                <c:pt idx="11">
                  <c:v>3</c:v>
                </c:pt>
                <c:pt idx="12">
                  <c:v>2</c:v>
                </c:pt>
                <c:pt idx="13">
                  <c:v>2</c:v>
                </c:pt>
                <c:pt idx="14">
                  <c:v>2</c:v>
                </c:pt>
                <c:pt idx="15">
                  <c:v>2</c:v>
                </c:pt>
                <c:pt idx="16">
                  <c:v>2</c:v>
                </c:pt>
                <c:pt idx="17">
                  <c:v>3</c:v>
                </c:pt>
                <c:pt idx="18">
                  <c:v>3</c:v>
                </c:pt>
                <c:pt idx="19">
                  <c:v>3</c:v>
                </c:pt>
                <c:pt idx="20">
                  <c:v>3</c:v>
                </c:pt>
                <c:pt idx="21">
                  <c:v>3</c:v>
                </c:pt>
                <c:pt idx="22">
                  <c:v>4</c:v>
                </c:pt>
                <c:pt idx="23">
                  <c:v>2</c:v>
                </c:pt>
              </c:numCache>
            </c:numRef>
          </c:val>
          <c:extLst>
            <c:ext xmlns:c16="http://schemas.microsoft.com/office/drawing/2014/chart" uri="{C3380CC4-5D6E-409C-BE32-E72D297353CC}">
              <c16:uniqueId val="{00000000-6E86-42D1-97F8-C2E4A88B3CE9}"/>
            </c:ext>
          </c:extLst>
        </c:ser>
        <c:dLbls>
          <c:showLegendKey val="0"/>
          <c:showVal val="0"/>
          <c:showCatName val="0"/>
          <c:showSerName val="0"/>
          <c:showPercent val="0"/>
          <c:showBubbleSize val="0"/>
        </c:dLbls>
        <c:gapWidth val="150"/>
        <c:shape val="box"/>
        <c:axId val="584647407"/>
        <c:axId val="584646927"/>
        <c:axId val="0"/>
      </c:bar3DChart>
      <c:catAx>
        <c:axId val="584647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646927"/>
        <c:crosses val="autoZero"/>
        <c:auto val="1"/>
        <c:lblAlgn val="ctr"/>
        <c:lblOffset val="100"/>
        <c:noMultiLvlLbl val="0"/>
      </c:catAx>
      <c:valAx>
        <c:axId val="584646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647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Dashboard.xlsx]Sheet2!PivotTable17</c:name>
    <c:fmtId val="1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66789714665948"/>
          <c:y val="7.4074377066503064E-2"/>
          <c:w val="0.57919619422572177"/>
          <c:h val="0.8416746864975212"/>
        </c:manualLayout>
      </c:layout>
      <c:lineChart>
        <c:grouping val="stacked"/>
        <c:varyColors val="0"/>
        <c:ser>
          <c:idx val="0"/>
          <c:order val="0"/>
          <c:tx>
            <c:strRef>
              <c:f>Sheet2!$AD$11:$AD$12</c:f>
              <c:strCache>
                <c:ptCount val="1"/>
                <c:pt idx="0">
                  <c:v>Sum of revenue2</c:v>
                </c:pt>
              </c:strCache>
            </c:strRef>
          </c:tx>
          <c:spPr>
            <a:ln w="28575" cap="rnd">
              <a:solidFill>
                <a:schemeClr val="accent1"/>
              </a:solidFill>
              <a:round/>
            </a:ln>
            <a:effectLst/>
          </c:spPr>
          <c:marker>
            <c:symbol val="none"/>
          </c:marker>
          <c:cat>
            <c:strRef>
              <c:f>Sheet2!$AC$13:$AC$15</c:f>
              <c:strCache>
                <c:ptCount val="2"/>
                <c:pt idx="0">
                  <c:v>2025</c:v>
                </c:pt>
                <c:pt idx="1">
                  <c:v>2026</c:v>
                </c:pt>
              </c:strCache>
            </c:strRef>
          </c:cat>
          <c:val>
            <c:numRef>
              <c:f>Sheet2!$AD$13:$AD$15</c:f>
              <c:numCache>
                <c:formatCode>General</c:formatCode>
                <c:ptCount val="2"/>
                <c:pt idx="0">
                  <c:v>391000</c:v>
                </c:pt>
                <c:pt idx="1">
                  <c:v>143000</c:v>
                </c:pt>
              </c:numCache>
            </c:numRef>
          </c:val>
          <c:smooth val="0"/>
          <c:extLst>
            <c:ext xmlns:c16="http://schemas.microsoft.com/office/drawing/2014/chart" uri="{C3380CC4-5D6E-409C-BE32-E72D297353CC}">
              <c16:uniqueId val="{00000000-E38D-457A-BA0C-0ACA99D53B20}"/>
            </c:ext>
          </c:extLst>
        </c:ser>
        <c:ser>
          <c:idx val="1"/>
          <c:order val="1"/>
          <c:tx>
            <c:strRef>
              <c:f>Sheet2!$AE$11:$AE$12</c:f>
              <c:strCache>
                <c:ptCount val="1"/>
                <c:pt idx="0">
                  <c:v>Sum of revenue</c:v>
                </c:pt>
              </c:strCache>
            </c:strRef>
          </c:tx>
          <c:spPr>
            <a:ln w="28575" cap="rnd">
              <a:solidFill>
                <a:schemeClr val="accent2"/>
              </a:solidFill>
              <a:round/>
            </a:ln>
            <a:effectLst/>
          </c:spPr>
          <c:marker>
            <c:symbol val="none"/>
          </c:marker>
          <c:cat>
            <c:strRef>
              <c:f>Sheet2!$AC$13:$AC$15</c:f>
              <c:strCache>
                <c:ptCount val="2"/>
                <c:pt idx="0">
                  <c:v>2025</c:v>
                </c:pt>
                <c:pt idx="1">
                  <c:v>2026</c:v>
                </c:pt>
              </c:strCache>
            </c:strRef>
          </c:cat>
          <c:val>
            <c:numRef>
              <c:f>Sheet2!$AE$13:$AE$15</c:f>
              <c:numCache>
                <c:formatCode>0%</c:formatCode>
                <c:ptCount val="2"/>
                <c:pt idx="0">
                  <c:v>1.7342657342657342</c:v>
                </c:pt>
              </c:numCache>
            </c:numRef>
          </c:val>
          <c:smooth val="0"/>
          <c:extLst>
            <c:ext xmlns:c16="http://schemas.microsoft.com/office/drawing/2014/chart" uri="{C3380CC4-5D6E-409C-BE32-E72D297353CC}">
              <c16:uniqueId val="{00000001-E38D-457A-BA0C-0ACA99D53B20}"/>
            </c:ext>
          </c:extLst>
        </c:ser>
        <c:dLbls>
          <c:showLegendKey val="0"/>
          <c:showVal val="0"/>
          <c:showCatName val="0"/>
          <c:showSerName val="0"/>
          <c:showPercent val="0"/>
          <c:showBubbleSize val="0"/>
        </c:dLbls>
        <c:smooth val="0"/>
        <c:axId val="590951615"/>
        <c:axId val="590952575"/>
      </c:lineChart>
      <c:catAx>
        <c:axId val="590951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0" cap="none" spc="0">
                    <a:ln w="0"/>
                    <a:solidFill>
                      <a:schemeClr val="accent1"/>
                    </a:solidFill>
                    <a:effectLst>
                      <a:outerShdw blurRad="38100" dist="25400" dir="5400000" algn="ctr" rotWithShape="0">
                        <a:srgbClr val="6E747A">
                          <a:alpha val="43000"/>
                        </a:srgbClr>
                      </a:outerShdw>
                    </a:effectLst>
                  </a:rPr>
                  <a:t>Year-wise</a:t>
                </a:r>
                <a:r>
                  <a:rPr lang="en-US" sz="1400" b="0" cap="none" spc="0" baseline="0">
                    <a:ln w="0"/>
                    <a:solidFill>
                      <a:schemeClr val="accent1"/>
                    </a:solidFill>
                    <a:effectLst>
                      <a:outerShdw blurRad="38100" dist="25400" dir="5400000" algn="ctr" rotWithShape="0">
                        <a:srgbClr val="6E747A">
                          <a:alpha val="43000"/>
                        </a:srgbClr>
                      </a:outerShdw>
                    </a:effectLst>
                  </a:rPr>
                  <a:t> growth</a:t>
                </a:r>
                <a:endParaRPr lang="en-US" sz="1400" b="0" cap="none" spc="0">
                  <a:ln w="0"/>
                  <a:solidFill>
                    <a:schemeClr val="accent1"/>
                  </a:solidFill>
                  <a:effectLst>
                    <a:outerShdw blurRad="38100" dist="25400" dir="5400000" algn="ctr" rotWithShape="0">
                      <a:srgbClr val="6E747A">
                        <a:alpha val="43000"/>
                      </a:srgbClr>
                    </a:outerShdw>
                  </a:effectLst>
                </a:endParaRPr>
              </a:p>
            </c:rich>
          </c:tx>
          <c:layout>
            <c:manualLayout>
              <c:xMode val="edge"/>
              <c:yMode val="edge"/>
              <c:x val="0.4352138025000396"/>
              <c:y val="9.7275113338105471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952575"/>
        <c:crosses val="autoZero"/>
        <c:auto val="1"/>
        <c:lblAlgn val="ctr"/>
        <c:lblOffset val="100"/>
        <c:noMultiLvlLbl val="0"/>
      </c:catAx>
      <c:valAx>
        <c:axId val="590952575"/>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951615"/>
        <c:crosses val="autoZero"/>
        <c:crossBetween val="between"/>
      </c:valAx>
      <c:spPr>
        <a:noFill/>
        <a:ln>
          <a:noFill/>
        </a:ln>
        <a:effectLst/>
      </c:spPr>
    </c:plotArea>
    <c:legend>
      <c:legendPos val="r"/>
      <c:layout>
        <c:manualLayout>
          <c:xMode val="edge"/>
          <c:yMode val="edge"/>
          <c:x val="0.83811045494313197"/>
          <c:y val="0.42187445319335082"/>
          <c:w val="0.14522287839020126"/>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1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11606</xdr:colOff>
      <xdr:row>14</xdr:row>
      <xdr:rowOff>11063</xdr:rowOff>
    </xdr:from>
    <xdr:to>
      <xdr:col>5</xdr:col>
      <xdr:colOff>343445</xdr:colOff>
      <xdr:row>28</xdr:row>
      <xdr:rowOff>173296</xdr:rowOff>
    </xdr:to>
    <xdr:graphicFrame macro="">
      <xdr:nvGraphicFramePr>
        <xdr:cNvPr id="2" name="Chart 1">
          <a:extLst>
            <a:ext uri="{FF2B5EF4-FFF2-40B4-BE49-F238E27FC236}">
              <a16:creationId xmlns:a16="http://schemas.microsoft.com/office/drawing/2014/main" id="{DCDF4D19-01C1-ACF9-998F-77E958D46D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400801</xdr:colOff>
      <xdr:row>13</xdr:row>
      <xdr:rowOff>174933</xdr:rowOff>
    </xdr:from>
    <xdr:to>
      <xdr:col>11</xdr:col>
      <xdr:colOff>377586</xdr:colOff>
      <xdr:row>28</xdr:row>
      <xdr:rowOff>152811</xdr:rowOff>
    </xdr:to>
    <xdr:graphicFrame macro="">
      <xdr:nvGraphicFramePr>
        <xdr:cNvPr id="3" name="Chart 2">
          <a:extLst>
            <a:ext uri="{FF2B5EF4-FFF2-40B4-BE49-F238E27FC236}">
              <a16:creationId xmlns:a16="http://schemas.microsoft.com/office/drawing/2014/main" id="{BB8C07F2-7B42-DDC8-F32E-A731A8EC5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45746</xdr:colOff>
      <xdr:row>29</xdr:row>
      <xdr:rowOff>45201</xdr:rowOff>
    </xdr:from>
    <xdr:to>
      <xdr:col>5</xdr:col>
      <xdr:colOff>377585</xdr:colOff>
      <xdr:row>44</xdr:row>
      <xdr:rowOff>23078</xdr:rowOff>
    </xdr:to>
    <xdr:graphicFrame macro="">
      <xdr:nvGraphicFramePr>
        <xdr:cNvPr id="4" name="Chart 3">
          <a:extLst>
            <a:ext uri="{FF2B5EF4-FFF2-40B4-BE49-F238E27FC236}">
              <a16:creationId xmlns:a16="http://schemas.microsoft.com/office/drawing/2014/main" id="{0AD1D3A9-6601-A71F-6417-19939BD21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469081</xdr:colOff>
      <xdr:row>29</xdr:row>
      <xdr:rowOff>72514</xdr:rowOff>
    </xdr:from>
    <xdr:to>
      <xdr:col>11</xdr:col>
      <xdr:colOff>445866</xdr:colOff>
      <xdr:row>44</xdr:row>
      <xdr:rowOff>50391</xdr:rowOff>
    </xdr:to>
    <xdr:graphicFrame macro="">
      <xdr:nvGraphicFramePr>
        <xdr:cNvPr id="6" name="Chart 5">
          <a:extLst>
            <a:ext uri="{FF2B5EF4-FFF2-40B4-BE49-F238E27FC236}">
              <a16:creationId xmlns:a16="http://schemas.microsoft.com/office/drawing/2014/main" id="{947E0DC6-594E-1680-78FF-AF925554BE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555272</xdr:colOff>
      <xdr:row>14</xdr:row>
      <xdr:rowOff>11061</xdr:rowOff>
    </xdr:from>
    <xdr:to>
      <xdr:col>16</xdr:col>
      <xdr:colOff>689100</xdr:colOff>
      <xdr:row>28</xdr:row>
      <xdr:rowOff>173294</xdr:rowOff>
    </xdr:to>
    <xdr:graphicFrame macro="">
      <xdr:nvGraphicFramePr>
        <xdr:cNvPr id="7" name="Chart 6">
          <a:extLst>
            <a:ext uri="{FF2B5EF4-FFF2-40B4-BE49-F238E27FC236}">
              <a16:creationId xmlns:a16="http://schemas.microsoft.com/office/drawing/2014/main" id="{84C6608A-5F35-5846-FC87-607D7DFFFD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18435</xdr:colOff>
      <xdr:row>29</xdr:row>
      <xdr:rowOff>154448</xdr:rowOff>
    </xdr:from>
    <xdr:to>
      <xdr:col>16</xdr:col>
      <xdr:colOff>759952</xdr:colOff>
      <xdr:row>44</xdr:row>
      <xdr:rowOff>132325</xdr:rowOff>
    </xdr:to>
    <xdr:graphicFrame macro="">
      <xdr:nvGraphicFramePr>
        <xdr:cNvPr id="8" name="Chart 7">
          <a:extLst>
            <a:ext uri="{FF2B5EF4-FFF2-40B4-BE49-F238E27FC236}">
              <a16:creationId xmlns:a16="http://schemas.microsoft.com/office/drawing/2014/main" id="{BAFE6AF0-CDDA-D6CC-13F6-8F452983D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10721</xdr:colOff>
      <xdr:row>14</xdr:row>
      <xdr:rowOff>63333</xdr:rowOff>
    </xdr:from>
    <xdr:to>
      <xdr:col>21</xdr:col>
      <xdr:colOff>591293</xdr:colOff>
      <xdr:row>29</xdr:row>
      <xdr:rowOff>85104</xdr:rowOff>
    </xdr:to>
    <xdr:graphicFrame macro="">
      <xdr:nvGraphicFramePr>
        <xdr:cNvPr id="9" name="Chart 8">
          <a:extLst>
            <a:ext uri="{FF2B5EF4-FFF2-40B4-BE49-F238E27FC236}">
              <a16:creationId xmlns:a16="http://schemas.microsoft.com/office/drawing/2014/main" id="{BEC98851-C6D4-360D-059A-C6B054E41B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31337</xdr:colOff>
      <xdr:row>30</xdr:row>
      <xdr:rowOff>5606</xdr:rowOff>
    </xdr:from>
    <xdr:to>
      <xdr:col>21</xdr:col>
      <xdr:colOff>577273</xdr:colOff>
      <xdr:row>45</xdr:row>
      <xdr:rowOff>27377</xdr:rowOff>
    </xdr:to>
    <xdr:graphicFrame macro="">
      <xdr:nvGraphicFramePr>
        <xdr:cNvPr id="13" name="Chart 12">
          <a:extLst>
            <a:ext uri="{FF2B5EF4-FFF2-40B4-BE49-F238E27FC236}">
              <a16:creationId xmlns:a16="http://schemas.microsoft.com/office/drawing/2014/main" id="{F5C70B95-907A-A327-C1E0-BE2A9E7EC2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811151</xdr:colOff>
      <xdr:row>45</xdr:row>
      <xdr:rowOff>79828</xdr:rowOff>
    </xdr:from>
    <xdr:to>
      <xdr:col>15</xdr:col>
      <xdr:colOff>660730</xdr:colOff>
      <xdr:row>59</xdr:row>
      <xdr:rowOff>63953</xdr:rowOff>
    </xdr:to>
    <mc:AlternateContent xmlns:mc="http://schemas.openxmlformats.org/markup-compatibility/2006">
      <mc:Choice xmlns:a14="http://schemas.microsoft.com/office/drawing/2010/main" Requires="a14">
        <xdr:graphicFrame macro="">
          <xdr:nvGraphicFramePr>
            <xdr:cNvPr id="14" name="month">
              <a:extLst>
                <a:ext uri="{FF2B5EF4-FFF2-40B4-BE49-F238E27FC236}">
                  <a16:creationId xmlns:a16="http://schemas.microsoft.com/office/drawing/2014/main" id="{6D45A28F-1E22-2842-5C04-A368C224AF1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441216" y="8244114"/>
              <a:ext cx="1828800" cy="252412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171450</xdr:colOff>
      <xdr:row>1</xdr:row>
      <xdr:rowOff>25400</xdr:rowOff>
    </xdr:from>
    <xdr:to>
      <xdr:col>10</xdr:col>
      <xdr:colOff>330200</xdr:colOff>
      <xdr:row>35</xdr:row>
      <xdr:rowOff>0</xdr:rowOff>
    </xdr:to>
    <xdr:sp macro="" textlink="">
      <xdr:nvSpPr>
        <xdr:cNvPr id="10" name="Rectangle: Rounded Corners 9">
          <a:extLst>
            <a:ext uri="{FF2B5EF4-FFF2-40B4-BE49-F238E27FC236}">
              <a16:creationId xmlns:a16="http://schemas.microsoft.com/office/drawing/2014/main" id="{7D12492C-667B-CC5E-A990-2EAE358578EA}"/>
            </a:ext>
          </a:extLst>
        </xdr:cNvPr>
        <xdr:cNvSpPr/>
      </xdr:nvSpPr>
      <xdr:spPr>
        <a:xfrm>
          <a:off x="171450" y="209550"/>
          <a:ext cx="6254750" cy="6235700"/>
        </a:xfrm>
        <a:prstGeom prst="roundRect">
          <a:avLst>
            <a:gd name="adj" fmla="val 5456"/>
          </a:avLst>
        </a:prstGeom>
        <a:ln>
          <a:solidFill>
            <a:schemeClr val="tx1"/>
          </a:solidFill>
        </a:ln>
        <a:effectLst>
          <a:innerShdw blurRad="63500" dist="50800" dir="135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AE" sz="1100"/>
        </a:p>
      </xdr:txBody>
    </xdr:sp>
    <xdr:clientData/>
  </xdr:twoCellAnchor>
  <xdr:twoCellAnchor>
    <xdr:from>
      <xdr:col>0</xdr:col>
      <xdr:colOff>292100</xdr:colOff>
      <xdr:row>1</xdr:row>
      <xdr:rowOff>146050</xdr:rowOff>
    </xdr:from>
    <xdr:to>
      <xdr:col>2</xdr:col>
      <xdr:colOff>184150</xdr:colOff>
      <xdr:row>13</xdr:row>
      <xdr:rowOff>25400</xdr:rowOff>
    </xdr:to>
    <xdr:sp macro="" textlink="">
      <xdr:nvSpPr>
        <xdr:cNvPr id="11" name="Rectangle: Rounded Corners 10">
          <a:extLst>
            <a:ext uri="{FF2B5EF4-FFF2-40B4-BE49-F238E27FC236}">
              <a16:creationId xmlns:a16="http://schemas.microsoft.com/office/drawing/2014/main" id="{67B7EAC0-A1B3-29FB-0432-2DC970A00296}"/>
            </a:ext>
          </a:extLst>
        </xdr:cNvPr>
        <xdr:cNvSpPr/>
      </xdr:nvSpPr>
      <xdr:spPr>
        <a:xfrm>
          <a:off x="292100" y="330200"/>
          <a:ext cx="1111250" cy="2089150"/>
        </a:xfrm>
        <a:prstGeom prst="roundRect">
          <a:avLst/>
        </a:prstGeom>
        <a:ln>
          <a:solidFill>
            <a:sysClr val="windowText" lastClr="000000"/>
          </a:solidFill>
        </a:ln>
        <a:effectLst>
          <a:innerShdw blurRad="63500" dist="50800" dir="135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AE" sz="1100"/>
        </a:p>
      </xdr:txBody>
    </xdr:sp>
    <xdr:clientData/>
  </xdr:twoCellAnchor>
  <xdr:twoCellAnchor>
    <xdr:from>
      <xdr:col>2</xdr:col>
      <xdr:colOff>361950</xdr:colOff>
      <xdr:row>4</xdr:row>
      <xdr:rowOff>19050</xdr:rowOff>
    </xdr:from>
    <xdr:to>
      <xdr:col>4</xdr:col>
      <xdr:colOff>165100</xdr:colOff>
      <xdr:row>6</xdr:row>
      <xdr:rowOff>82550</xdr:rowOff>
    </xdr:to>
    <xdr:sp macro="" textlink="">
      <xdr:nvSpPr>
        <xdr:cNvPr id="12" name="Rectangle: Rounded Corners 11">
          <a:extLst>
            <a:ext uri="{FF2B5EF4-FFF2-40B4-BE49-F238E27FC236}">
              <a16:creationId xmlns:a16="http://schemas.microsoft.com/office/drawing/2014/main" id="{F471CB44-1B7D-B808-D196-A1AB9B1EB709}"/>
            </a:ext>
          </a:extLst>
        </xdr:cNvPr>
        <xdr:cNvSpPr/>
      </xdr:nvSpPr>
      <xdr:spPr>
        <a:xfrm>
          <a:off x="1581150" y="755650"/>
          <a:ext cx="1022350" cy="431800"/>
        </a:xfrm>
        <a:prstGeom prst="roundRect">
          <a:avLst/>
        </a:prstGeom>
        <a:ln>
          <a:solidFill>
            <a:schemeClr val="tx1"/>
          </a:solidFill>
        </a:ln>
        <a:effectLst>
          <a:innerShdw blurRad="63500" dist="50800" dir="135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AE" sz="1100" b="0" cap="none" spc="0">
              <a:ln w="0"/>
              <a:solidFill>
                <a:schemeClr val="accent1"/>
              </a:solidFill>
              <a:effectLst>
                <a:outerShdw blurRad="38100" dist="25400" dir="5400000" algn="ctr" rotWithShape="0">
                  <a:srgbClr val="6E747A">
                    <a:alpha val="43000"/>
                  </a:srgbClr>
                </a:outerShdw>
              </a:effectLst>
            </a:rPr>
            <a:t>Total</a:t>
          </a:r>
          <a:r>
            <a:rPr lang="en-AE" sz="1100" b="0" cap="none" spc="0" baseline="0">
              <a:ln w="0"/>
              <a:solidFill>
                <a:schemeClr val="accent1"/>
              </a:solidFill>
              <a:effectLst>
                <a:outerShdw blurRad="38100" dist="25400" dir="5400000" algn="ctr" rotWithShape="0">
                  <a:srgbClr val="6E747A">
                    <a:alpha val="43000"/>
                  </a:srgbClr>
                </a:outerShdw>
              </a:effectLst>
            </a:rPr>
            <a:t> revenue</a:t>
          </a:r>
          <a:endParaRPr lang="en-AE"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4</xdr:col>
      <xdr:colOff>298450</xdr:colOff>
      <xdr:row>4</xdr:row>
      <xdr:rowOff>0</xdr:rowOff>
    </xdr:from>
    <xdr:to>
      <xdr:col>6</xdr:col>
      <xdr:colOff>101600</xdr:colOff>
      <xdr:row>6</xdr:row>
      <xdr:rowOff>63500</xdr:rowOff>
    </xdr:to>
    <xdr:sp macro="" textlink="">
      <xdr:nvSpPr>
        <xdr:cNvPr id="13" name="Rectangle: Rounded Corners 12">
          <a:extLst>
            <a:ext uri="{FF2B5EF4-FFF2-40B4-BE49-F238E27FC236}">
              <a16:creationId xmlns:a16="http://schemas.microsoft.com/office/drawing/2014/main" id="{340E7A85-9808-44AB-B57D-0323BA012CA8}"/>
            </a:ext>
          </a:extLst>
        </xdr:cNvPr>
        <xdr:cNvSpPr/>
      </xdr:nvSpPr>
      <xdr:spPr>
        <a:xfrm>
          <a:off x="2736850" y="736600"/>
          <a:ext cx="1022350" cy="431800"/>
        </a:xfrm>
        <a:prstGeom prst="roundRect">
          <a:avLst/>
        </a:prstGeom>
        <a:ln>
          <a:solidFill>
            <a:schemeClr val="tx1"/>
          </a:solidFill>
        </a:ln>
        <a:effectLst>
          <a:innerShdw blurRad="63500" dist="50800" dir="135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AE" sz="1100"/>
            <a:t>         </a:t>
          </a:r>
          <a:r>
            <a:rPr lang="en-AE" sz="1100" b="0" cap="none" spc="0">
              <a:ln w="0"/>
              <a:solidFill>
                <a:schemeClr val="accent1"/>
              </a:solidFill>
              <a:effectLst>
                <a:outerShdw blurRad="38100" dist="25400" dir="5400000" algn="ctr" rotWithShape="0">
                  <a:srgbClr val="6E747A">
                    <a:alpha val="43000"/>
                  </a:srgbClr>
                </a:outerShdw>
              </a:effectLst>
            </a:rPr>
            <a:t>Qty</a:t>
          </a:r>
          <a:endParaRPr lang="en-AE" sz="1100"/>
        </a:p>
      </xdr:txBody>
    </xdr:sp>
    <xdr:clientData/>
  </xdr:twoCellAnchor>
  <xdr:twoCellAnchor>
    <xdr:from>
      <xdr:col>6</xdr:col>
      <xdr:colOff>203200</xdr:colOff>
      <xdr:row>4</xdr:row>
      <xdr:rowOff>19050</xdr:rowOff>
    </xdr:from>
    <xdr:to>
      <xdr:col>8</xdr:col>
      <xdr:colOff>6350</xdr:colOff>
      <xdr:row>6</xdr:row>
      <xdr:rowOff>82550</xdr:rowOff>
    </xdr:to>
    <xdr:sp macro="" textlink="">
      <xdr:nvSpPr>
        <xdr:cNvPr id="14" name="Rectangle: Rounded Corners 13">
          <a:extLst>
            <a:ext uri="{FF2B5EF4-FFF2-40B4-BE49-F238E27FC236}">
              <a16:creationId xmlns:a16="http://schemas.microsoft.com/office/drawing/2014/main" id="{63884C24-34EA-4430-B509-D7837452E82E}"/>
            </a:ext>
          </a:extLst>
        </xdr:cNvPr>
        <xdr:cNvSpPr/>
      </xdr:nvSpPr>
      <xdr:spPr>
        <a:xfrm>
          <a:off x="3860800" y="755650"/>
          <a:ext cx="1022350" cy="431800"/>
        </a:xfrm>
        <a:prstGeom prst="roundRect">
          <a:avLst/>
        </a:prstGeom>
        <a:ln>
          <a:solidFill>
            <a:schemeClr val="tx1"/>
          </a:solidFill>
        </a:ln>
        <a:effectLst>
          <a:innerShdw blurRad="63500" dist="50800" dir="135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AE" sz="1100"/>
            <a:t>      </a:t>
          </a:r>
          <a:r>
            <a:rPr lang="en-AE" sz="1100" b="0" cap="none" spc="0">
              <a:ln w="0"/>
              <a:solidFill>
                <a:schemeClr val="accent1"/>
              </a:solidFill>
              <a:effectLst>
                <a:outerShdw blurRad="38100" dist="25400" dir="5400000" algn="ctr" rotWithShape="0">
                  <a:srgbClr val="6E747A">
                    <a:alpha val="43000"/>
                  </a:srgbClr>
                </a:outerShdw>
              </a:effectLst>
            </a:rPr>
            <a:t>orders</a:t>
          </a:r>
          <a:endParaRPr lang="en-AE" sz="1100"/>
        </a:p>
      </xdr:txBody>
    </xdr:sp>
    <xdr:clientData/>
  </xdr:twoCellAnchor>
  <xdr:twoCellAnchor>
    <xdr:from>
      <xdr:col>8</xdr:col>
      <xdr:colOff>158750</xdr:colOff>
      <xdr:row>4</xdr:row>
      <xdr:rowOff>31750</xdr:rowOff>
    </xdr:from>
    <xdr:to>
      <xdr:col>9</xdr:col>
      <xdr:colOff>571500</xdr:colOff>
      <xdr:row>6</xdr:row>
      <xdr:rowOff>95250</xdr:rowOff>
    </xdr:to>
    <xdr:sp macro="" textlink="">
      <xdr:nvSpPr>
        <xdr:cNvPr id="15" name="Rectangle: Rounded Corners 14">
          <a:extLst>
            <a:ext uri="{FF2B5EF4-FFF2-40B4-BE49-F238E27FC236}">
              <a16:creationId xmlns:a16="http://schemas.microsoft.com/office/drawing/2014/main" id="{071A17E1-9051-47D5-B959-B74AB10ECA89}"/>
            </a:ext>
          </a:extLst>
        </xdr:cNvPr>
        <xdr:cNvSpPr/>
      </xdr:nvSpPr>
      <xdr:spPr>
        <a:xfrm>
          <a:off x="5035550" y="768350"/>
          <a:ext cx="1022350" cy="431800"/>
        </a:xfrm>
        <a:prstGeom prst="roundRect">
          <a:avLst/>
        </a:prstGeom>
        <a:ln>
          <a:solidFill>
            <a:schemeClr val="tx1"/>
          </a:solidFill>
        </a:ln>
        <a:effectLst>
          <a:innerShdw blurRad="63500" dist="50800" dir="135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AE" sz="1100" b="0" cap="none" spc="0">
              <a:ln w="0"/>
              <a:solidFill>
                <a:schemeClr val="accent1"/>
              </a:solidFill>
              <a:effectLst>
                <a:outerShdw blurRad="38100" dist="25400" dir="5400000" algn="ctr" rotWithShape="0">
                  <a:srgbClr val="6E747A">
                    <a:alpha val="43000"/>
                  </a:srgbClr>
                </a:outerShdw>
              </a:effectLst>
            </a:rPr>
            <a:t> Top product</a:t>
          </a:r>
        </a:p>
      </xdr:txBody>
    </xdr:sp>
    <xdr:clientData/>
  </xdr:twoCellAnchor>
  <xdr:twoCellAnchor>
    <xdr:from>
      <xdr:col>2</xdr:col>
      <xdr:colOff>571500</xdr:colOff>
      <xdr:row>5</xdr:row>
      <xdr:rowOff>57150</xdr:rowOff>
    </xdr:from>
    <xdr:to>
      <xdr:col>3</xdr:col>
      <xdr:colOff>571500</xdr:colOff>
      <xdr:row>6</xdr:row>
      <xdr:rowOff>63500</xdr:rowOff>
    </xdr:to>
    <xdr:sp macro="" textlink="Sheet2!D57">
      <xdr:nvSpPr>
        <xdr:cNvPr id="16" name="TextBox 15">
          <a:extLst>
            <a:ext uri="{FF2B5EF4-FFF2-40B4-BE49-F238E27FC236}">
              <a16:creationId xmlns:a16="http://schemas.microsoft.com/office/drawing/2014/main" id="{A37D69A6-B1AE-5EB7-C4FE-E2F9502CA53F}"/>
            </a:ext>
          </a:extLst>
        </xdr:cNvPr>
        <xdr:cNvSpPr txBox="1"/>
      </xdr:nvSpPr>
      <xdr:spPr>
        <a:xfrm>
          <a:off x="1790700" y="977900"/>
          <a:ext cx="60960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8075E0-94EE-4867-8B37-EE18124EC392}" type="TxLink">
            <a:rPr lang="en-US" sz="1100" b="0" i="0" u="none" strike="noStrike" cap="none" spc="0">
              <a:ln w="0"/>
              <a:solidFill>
                <a:schemeClr val="accent1"/>
              </a:solidFill>
              <a:effectLst>
                <a:outerShdw blurRad="38100" dist="25400" dir="5400000" algn="ctr" rotWithShape="0">
                  <a:srgbClr val="6E747A">
                    <a:alpha val="43000"/>
                  </a:srgbClr>
                </a:outerShdw>
              </a:effectLst>
              <a:latin typeface="Calibri"/>
              <a:ea typeface="Calibri"/>
              <a:cs typeface="Calibri"/>
            </a:rPr>
            <a:t>534000</a:t>
          </a:fld>
          <a:endParaRPr lang="en-AE"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5</xdr:col>
      <xdr:colOff>12700</xdr:colOff>
      <xdr:row>5</xdr:row>
      <xdr:rowOff>25400</xdr:rowOff>
    </xdr:from>
    <xdr:to>
      <xdr:col>5</xdr:col>
      <xdr:colOff>368300</xdr:colOff>
      <xdr:row>6</xdr:row>
      <xdr:rowOff>31750</xdr:rowOff>
    </xdr:to>
    <xdr:sp macro="" textlink="Sheet2!G74">
      <xdr:nvSpPr>
        <xdr:cNvPr id="17" name="TextBox 16">
          <a:extLst>
            <a:ext uri="{FF2B5EF4-FFF2-40B4-BE49-F238E27FC236}">
              <a16:creationId xmlns:a16="http://schemas.microsoft.com/office/drawing/2014/main" id="{DB1C76C4-5F14-07E8-72B3-52CBDBB4A410}"/>
            </a:ext>
          </a:extLst>
        </xdr:cNvPr>
        <xdr:cNvSpPr txBox="1"/>
      </xdr:nvSpPr>
      <xdr:spPr>
        <a:xfrm>
          <a:off x="3060700" y="946150"/>
          <a:ext cx="35560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3EB725-E05B-4015-8D8D-4B77522712E1}" type="TxLink">
            <a:rPr lang="en-US" sz="1100" b="0" i="0" u="none" strike="noStrike" cap="none" spc="0">
              <a:ln w="0"/>
              <a:solidFill>
                <a:schemeClr val="accent1"/>
              </a:solidFill>
              <a:effectLst>
                <a:outerShdw blurRad="38100" dist="25400" dir="5400000" algn="ctr" rotWithShape="0">
                  <a:srgbClr val="6E747A">
                    <a:alpha val="43000"/>
                  </a:srgbClr>
                </a:outerShdw>
              </a:effectLst>
              <a:latin typeface="Calibri"/>
              <a:ea typeface="Calibri"/>
              <a:cs typeface="Calibri"/>
            </a:rPr>
            <a:t>63</a:t>
          </a:fld>
          <a:endParaRPr lang="en-AE"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6</xdr:col>
      <xdr:colOff>539750</xdr:colOff>
      <xdr:row>5</xdr:row>
      <xdr:rowOff>50800</xdr:rowOff>
    </xdr:from>
    <xdr:to>
      <xdr:col>7</xdr:col>
      <xdr:colOff>298450</xdr:colOff>
      <xdr:row>6</xdr:row>
      <xdr:rowOff>82550</xdr:rowOff>
    </xdr:to>
    <xdr:sp macro="" textlink="Sheet2!D69">
      <xdr:nvSpPr>
        <xdr:cNvPr id="19" name="TextBox 18">
          <a:extLst>
            <a:ext uri="{FF2B5EF4-FFF2-40B4-BE49-F238E27FC236}">
              <a16:creationId xmlns:a16="http://schemas.microsoft.com/office/drawing/2014/main" id="{B4F47909-C26F-D7C6-BF54-9DF91E0D0DEF}"/>
            </a:ext>
          </a:extLst>
        </xdr:cNvPr>
        <xdr:cNvSpPr txBox="1"/>
      </xdr:nvSpPr>
      <xdr:spPr>
        <a:xfrm>
          <a:off x="4197350" y="971550"/>
          <a:ext cx="368300" cy="215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5285B4-0C55-4F86-B08C-1E643239469A}" type="TxLink">
            <a:rPr lang="en-US" sz="1100" b="0" i="0" u="none" strike="noStrike" cap="none" spc="0">
              <a:ln w="0"/>
              <a:solidFill>
                <a:schemeClr val="accent1"/>
              </a:solidFill>
              <a:effectLst>
                <a:outerShdw blurRad="38100" dist="25400" dir="5400000" algn="ctr" rotWithShape="0">
                  <a:srgbClr val="6E747A">
                    <a:alpha val="43000"/>
                  </a:srgbClr>
                </a:outerShdw>
              </a:effectLst>
              <a:latin typeface="Calibri"/>
              <a:ea typeface="Calibri"/>
              <a:cs typeface="Calibri"/>
            </a:rPr>
            <a:t>25</a:t>
          </a:fld>
          <a:endParaRPr lang="en-AE"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8</xdr:col>
      <xdr:colOff>311150</xdr:colOff>
      <xdr:row>5</xdr:row>
      <xdr:rowOff>57150</xdr:rowOff>
    </xdr:from>
    <xdr:to>
      <xdr:col>9</xdr:col>
      <xdr:colOff>317500</xdr:colOff>
      <xdr:row>6</xdr:row>
      <xdr:rowOff>69850</xdr:rowOff>
    </xdr:to>
    <xdr:sp macro="" textlink="Sheet2!J64">
      <xdr:nvSpPr>
        <xdr:cNvPr id="20" name="TextBox 19">
          <a:extLst>
            <a:ext uri="{FF2B5EF4-FFF2-40B4-BE49-F238E27FC236}">
              <a16:creationId xmlns:a16="http://schemas.microsoft.com/office/drawing/2014/main" id="{46E9D8C3-13BF-EA72-647F-7BA1BA43D3A5}"/>
            </a:ext>
          </a:extLst>
        </xdr:cNvPr>
        <xdr:cNvSpPr txBox="1"/>
      </xdr:nvSpPr>
      <xdr:spPr>
        <a:xfrm>
          <a:off x="5187950" y="977900"/>
          <a:ext cx="615950" cy="196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A18B82-BBA0-4C5A-9FF0-3ABB4FBC1C93}" type="TxLink">
            <a:rPr lang="en-US" sz="1100" b="0" i="0" u="none" strike="noStrike" cap="none" spc="0">
              <a:ln w="0"/>
              <a:solidFill>
                <a:schemeClr val="accent1"/>
              </a:solidFill>
              <a:effectLst>
                <a:outerShdw blurRad="38100" dist="25400" dir="5400000" algn="ctr" rotWithShape="0">
                  <a:srgbClr val="6E747A">
                    <a:alpha val="43000"/>
                  </a:srgbClr>
                </a:outerShdw>
              </a:effectLst>
              <a:latin typeface="Calibri"/>
              <a:ea typeface="Calibri"/>
              <a:cs typeface="Calibri"/>
            </a:rPr>
            <a:t>Laptop</a:t>
          </a:fld>
          <a:endParaRPr lang="en-AE"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11</xdr:col>
      <xdr:colOff>469900</xdr:colOff>
      <xdr:row>27</xdr:row>
      <xdr:rowOff>133349</xdr:rowOff>
    </xdr:from>
    <xdr:to>
      <xdr:col>13</xdr:col>
      <xdr:colOff>228600</xdr:colOff>
      <xdr:row>28</xdr:row>
      <xdr:rowOff>12698</xdr:rowOff>
    </xdr:to>
    <xdr:sp macro="" textlink="">
      <xdr:nvSpPr>
        <xdr:cNvPr id="21" name="TextBox 20">
          <a:extLst>
            <a:ext uri="{FF2B5EF4-FFF2-40B4-BE49-F238E27FC236}">
              <a16:creationId xmlns:a16="http://schemas.microsoft.com/office/drawing/2014/main" id="{9EC72E8B-2556-20B1-3CB8-423E834960A2}"/>
            </a:ext>
          </a:extLst>
        </xdr:cNvPr>
        <xdr:cNvSpPr txBox="1"/>
      </xdr:nvSpPr>
      <xdr:spPr>
        <a:xfrm flipV="1">
          <a:off x="7175500" y="5105399"/>
          <a:ext cx="977900" cy="634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000" b="0" cap="none" spc="0">
              <a:ln w="0"/>
              <a:solidFill>
                <a:schemeClr val="accent1"/>
              </a:solidFill>
              <a:effectLst>
                <a:outerShdw blurRad="38100" dist="25400" dir="5400000" algn="ctr" rotWithShape="0">
                  <a:srgbClr val="6E747A">
                    <a:alpha val="43000"/>
                  </a:srgbClr>
                </a:outerShdw>
              </a:effectLst>
            </a:rPr>
            <a:t>Total revenue</a:t>
          </a:r>
        </a:p>
      </xdr:txBody>
    </xdr:sp>
    <xdr:clientData/>
  </xdr:twoCellAnchor>
  <xdr:twoCellAnchor>
    <xdr:from>
      <xdr:col>2</xdr:col>
      <xdr:colOff>228600</xdr:colOff>
      <xdr:row>6</xdr:row>
      <xdr:rowOff>177800</xdr:rowOff>
    </xdr:from>
    <xdr:to>
      <xdr:col>10</xdr:col>
      <xdr:colOff>82550</xdr:colOff>
      <xdr:row>13</xdr:row>
      <xdr:rowOff>95250</xdr:rowOff>
    </xdr:to>
    <xdr:sp macro="" textlink="">
      <xdr:nvSpPr>
        <xdr:cNvPr id="25" name="Rectangle: Rounded Corners 24">
          <a:extLst>
            <a:ext uri="{FF2B5EF4-FFF2-40B4-BE49-F238E27FC236}">
              <a16:creationId xmlns:a16="http://schemas.microsoft.com/office/drawing/2014/main" id="{36834F58-3810-44C3-BBA8-9AF08B6B057A}"/>
            </a:ext>
          </a:extLst>
        </xdr:cNvPr>
        <xdr:cNvSpPr/>
      </xdr:nvSpPr>
      <xdr:spPr>
        <a:xfrm>
          <a:off x="1447800" y="1282700"/>
          <a:ext cx="4730750" cy="1206500"/>
        </a:xfrm>
        <a:prstGeom prst="roundRect">
          <a:avLst/>
        </a:prstGeom>
        <a:ln>
          <a:solidFill>
            <a:sysClr val="windowText" lastClr="000000"/>
          </a:solidFill>
        </a:ln>
        <a:effectLst>
          <a:innerShdw blurRad="63500" dist="50800" dir="135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AE" sz="1100"/>
        </a:p>
      </xdr:txBody>
    </xdr:sp>
    <xdr:clientData/>
  </xdr:twoCellAnchor>
  <xdr:twoCellAnchor>
    <xdr:from>
      <xdr:col>0</xdr:col>
      <xdr:colOff>196850</xdr:colOff>
      <xdr:row>13</xdr:row>
      <xdr:rowOff>120650</xdr:rowOff>
    </xdr:from>
    <xdr:to>
      <xdr:col>5</xdr:col>
      <xdr:colOff>76200</xdr:colOff>
      <xdr:row>20</xdr:row>
      <xdr:rowOff>12700</xdr:rowOff>
    </xdr:to>
    <xdr:sp macro="" textlink="">
      <xdr:nvSpPr>
        <xdr:cNvPr id="26" name="Rectangle: Rounded Corners 25">
          <a:extLst>
            <a:ext uri="{FF2B5EF4-FFF2-40B4-BE49-F238E27FC236}">
              <a16:creationId xmlns:a16="http://schemas.microsoft.com/office/drawing/2014/main" id="{BA7211BE-205A-44C6-9FD0-82CFFBE395A6}"/>
            </a:ext>
          </a:extLst>
        </xdr:cNvPr>
        <xdr:cNvSpPr/>
      </xdr:nvSpPr>
      <xdr:spPr>
        <a:xfrm>
          <a:off x="196850" y="2514600"/>
          <a:ext cx="2927350" cy="1181100"/>
        </a:xfrm>
        <a:prstGeom prst="roundRect">
          <a:avLst/>
        </a:prstGeom>
        <a:ln>
          <a:solidFill>
            <a:sysClr val="windowText" lastClr="000000"/>
          </a:solidFill>
        </a:ln>
        <a:effectLst>
          <a:innerShdw blurRad="63500" dist="50800" dir="135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AE" sz="1100"/>
        </a:p>
      </xdr:txBody>
    </xdr:sp>
    <xdr:clientData/>
  </xdr:twoCellAnchor>
  <xdr:twoCellAnchor>
    <xdr:from>
      <xdr:col>2</xdr:col>
      <xdr:colOff>266700</xdr:colOff>
      <xdr:row>7</xdr:row>
      <xdr:rowOff>107950</xdr:rowOff>
    </xdr:from>
    <xdr:to>
      <xdr:col>10</xdr:col>
      <xdr:colOff>127000</xdr:colOff>
      <xdr:row>13</xdr:row>
      <xdr:rowOff>69850</xdr:rowOff>
    </xdr:to>
    <xdr:graphicFrame macro="">
      <xdr:nvGraphicFramePr>
        <xdr:cNvPr id="27" name="Chart 26">
          <a:extLst>
            <a:ext uri="{FF2B5EF4-FFF2-40B4-BE49-F238E27FC236}">
              <a16:creationId xmlns:a16="http://schemas.microsoft.com/office/drawing/2014/main" id="{4A98F4C2-ECA3-411C-856E-E5BCD6267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152400</xdr:colOff>
      <xdr:row>13</xdr:row>
      <xdr:rowOff>133350</xdr:rowOff>
    </xdr:from>
    <xdr:to>
      <xdr:col>10</xdr:col>
      <xdr:colOff>177800</xdr:colOff>
      <xdr:row>19</xdr:row>
      <xdr:rowOff>177800</xdr:rowOff>
    </xdr:to>
    <xdr:sp macro="" textlink="">
      <xdr:nvSpPr>
        <xdr:cNvPr id="28" name="Rectangle: Rounded Corners 27">
          <a:extLst>
            <a:ext uri="{FF2B5EF4-FFF2-40B4-BE49-F238E27FC236}">
              <a16:creationId xmlns:a16="http://schemas.microsoft.com/office/drawing/2014/main" id="{6C37D1E1-E458-4785-933A-842882C51127}"/>
            </a:ext>
          </a:extLst>
        </xdr:cNvPr>
        <xdr:cNvSpPr/>
      </xdr:nvSpPr>
      <xdr:spPr>
        <a:xfrm>
          <a:off x="3200400" y="2527300"/>
          <a:ext cx="3073400" cy="1149350"/>
        </a:xfrm>
        <a:prstGeom prst="roundRect">
          <a:avLst/>
        </a:prstGeom>
        <a:ln>
          <a:solidFill>
            <a:sysClr val="windowText" lastClr="000000"/>
          </a:solidFill>
        </a:ln>
        <a:effectLst>
          <a:innerShdw blurRad="63500" dist="50800" dir="135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AE" sz="1100"/>
        </a:p>
      </xdr:txBody>
    </xdr:sp>
    <xdr:clientData/>
  </xdr:twoCellAnchor>
  <xdr:twoCellAnchor>
    <xdr:from>
      <xdr:col>0</xdr:col>
      <xdr:colOff>82550</xdr:colOff>
      <xdr:row>13</xdr:row>
      <xdr:rowOff>44450</xdr:rowOff>
    </xdr:from>
    <xdr:to>
      <xdr:col>5</xdr:col>
      <xdr:colOff>88901</xdr:colOff>
      <xdr:row>19</xdr:row>
      <xdr:rowOff>165100</xdr:rowOff>
    </xdr:to>
    <xdr:graphicFrame macro="">
      <xdr:nvGraphicFramePr>
        <xdr:cNvPr id="29" name="Chart 28">
          <a:extLst>
            <a:ext uri="{FF2B5EF4-FFF2-40B4-BE49-F238E27FC236}">
              <a16:creationId xmlns:a16="http://schemas.microsoft.com/office/drawing/2014/main" id="{06C68837-3DF4-4E7F-9A9E-10C19AA19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196850</xdr:colOff>
      <xdr:row>13</xdr:row>
      <xdr:rowOff>38100</xdr:rowOff>
    </xdr:from>
    <xdr:to>
      <xdr:col>10</xdr:col>
      <xdr:colOff>254000</xdr:colOff>
      <xdr:row>19</xdr:row>
      <xdr:rowOff>107950</xdr:rowOff>
    </xdr:to>
    <xdr:graphicFrame macro="">
      <xdr:nvGraphicFramePr>
        <xdr:cNvPr id="30" name="Chart 29">
          <a:extLst>
            <a:ext uri="{FF2B5EF4-FFF2-40B4-BE49-F238E27FC236}">
              <a16:creationId xmlns:a16="http://schemas.microsoft.com/office/drawing/2014/main" id="{C4A6B5E1-DC6E-416F-B7AA-0DCE124A7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247650</xdr:colOff>
      <xdr:row>20</xdr:row>
      <xdr:rowOff>63500</xdr:rowOff>
    </xdr:from>
    <xdr:to>
      <xdr:col>3</xdr:col>
      <xdr:colOff>419100</xdr:colOff>
      <xdr:row>26</xdr:row>
      <xdr:rowOff>158750</xdr:rowOff>
    </xdr:to>
    <xdr:sp macro="" textlink="">
      <xdr:nvSpPr>
        <xdr:cNvPr id="31" name="Rectangle: Rounded Corners 30">
          <a:extLst>
            <a:ext uri="{FF2B5EF4-FFF2-40B4-BE49-F238E27FC236}">
              <a16:creationId xmlns:a16="http://schemas.microsoft.com/office/drawing/2014/main" id="{1DF1F0D2-424B-43B2-8578-F9CF963FAC6F}"/>
            </a:ext>
          </a:extLst>
        </xdr:cNvPr>
        <xdr:cNvSpPr/>
      </xdr:nvSpPr>
      <xdr:spPr>
        <a:xfrm>
          <a:off x="247650" y="3746500"/>
          <a:ext cx="2000250" cy="1200150"/>
        </a:xfrm>
        <a:prstGeom prst="roundRect">
          <a:avLst/>
        </a:prstGeom>
        <a:ln>
          <a:solidFill>
            <a:sysClr val="windowText" lastClr="000000"/>
          </a:solidFill>
        </a:ln>
        <a:effectLst>
          <a:innerShdw blurRad="63500" dist="50800" dir="135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AE" sz="1100"/>
        </a:p>
      </xdr:txBody>
    </xdr:sp>
    <xdr:clientData/>
  </xdr:twoCellAnchor>
  <xdr:twoCellAnchor>
    <xdr:from>
      <xdr:col>3</xdr:col>
      <xdr:colOff>469900</xdr:colOff>
      <xdr:row>20</xdr:row>
      <xdr:rowOff>44450</xdr:rowOff>
    </xdr:from>
    <xdr:to>
      <xdr:col>7</xdr:col>
      <xdr:colOff>63500</xdr:colOff>
      <xdr:row>26</xdr:row>
      <xdr:rowOff>171450</xdr:rowOff>
    </xdr:to>
    <xdr:sp macro="" textlink="">
      <xdr:nvSpPr>
        <xdr:cNvPr id="32" name="Rectangle: Rounded Corners 31">
          <a:extLst>
            <a:ext uri="{FF2B5EF4-FFF2-40B4-BE49-F238E27FC236}">
              <a16:creationId xmlns:a16="http://schemas.microsoft.com/office/drawing/2014/main" id="{2A17E797-3B34-4F22-ACE1-3D2D5FCBEADC}"/>
            </a:ext>
          </a:extLst>
        </xdr:cNvPr>
        <xdr:cNvSpPr/>
      </xdr:nvSpPr>
      <xdr:spPr>
        <a:xfrm>
          <a:off x="2298700" y="3727450"/>
          <a:ext cx="2032000" cy="1231900"/>
        </a:xfrm>
        <a:prstGeom prst="roundRect">
          <a:avLst/>
        </a:prstGeom>
        <a:ln>
          <a:solidFill>
            <a:sysClr val="windowText" lastClr="000000"/>
          </a:solidFill>
        </a:ln>
        <a:effectLst>
          <a:innerShdw blurRad="63500" dist="50800" dir="135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AE" sz="1100"/>
        </a:p>
      </xdr:txBody>
    </xdr:sp>
    <xdr:clientData/>
  </xdr:twoCellAnchor>
  <xdr:twoCellAnchor>
    <xdr:from>
      <xdr:col>7</xdr:col>
      <xdr:colOff>95250</xdr:colOff>
      <xdr:row>20</xdr:row>
      <xdr:rowOff>31750</xdr:rowOff>
    </xdr:from>
    <xdr:to>
      <xdr:col>10</xdr:col>
      <xdr:colOff>273050</xdr:colOff>
      <xdr:row>26</xdr:row>
      <xdr:rowOff>165100</xdr:rowOff>
    </xdr:to>
    <xdr:sp macro="" textlink="">
      <xdr:nvSpPr>
        <xdr:cNvPr id="33" name="Rectangle: Rounded Corners 32">
          <a:extLst>
            <a:ext uri="{FF2B5EF4-FFF2-40B4-BE49-F238E27FC236}">
              <a16:creationId xmlns:a16="http://schemas.microsoft.com/office/drawing/2014/main" id="{0E4A4A59-93E9-464E-80AB-B9354A734954}"/>
            </a:ext>
          </a:extLst>
        </xdr:cNvPr>
        <xdr:cNvSpPr/>
      </xdr:nvSpPr>
      <xdr:spPr>
        <a:xfrm>
          <a:off x="4362450" y="3714750"/>
          <a:ext cx="2006600" cy="1238250"/>
        </a:xfrm>
        <a:prstGeom prst="roundRect">
          <a:avLst/>
        </a:prstGeom>
        <a:ln>
          <a:solidFill>
            <a:sysClr val="windowText" lastClr="000000"/>
          </a:solidFill>
        </a:ln>
        <a:effectLst>
          <a:innerShdw blurRad="63500" dist="50800" dir="135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AE" sz="1100"/>
        </a:p>
      </xdr:txBody>
    </xdr:sp>
    <xdr:clientData/>
  </xdr:twoCellAnchor>
  <xdr:twoCellAnchor>
    <xdr:from>
      <xdr:col>0</xdr:col>
      <xdr:colOff>254000</xdr:colOff>
      <xdr:row>20</xdr:row>
      <xdr:rowOff>57151</xdr:rowOff>
    </xdr:from>
    <xdr:to>
      <xdr:col>3</xdr:col>
      <xdr:colOff>469900</xdr:colOff>
      <xdr:row>27</xdr:row>
      <xdr:rowOff>19050</xdr:rowOff>
    </xdr:to>
    <xdr:graphicFrame macro="">
      <xdr:nvGraphicFramePr>
        <xdr:cNvPr id="34" name="Chart 33">
          <a:extLst>
            <a:ext uri="{FF2B5EF4-FFF2-40B4-BE49-F238E27FC236}">
              <a16:creationId xmlns:a16="http://schemas.microsoft.com/office/drawing/2014/main" id="{907DA27D-8E54-4381-B119-E7227ED6F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292100</xdr:colOff>
      <xdr:row>19</xdr:row>
      <xdr:rowOff>50800</xdr:rowOff>
    </xdr:from>
    <xdr:to>
      <xdr:col>7</xdr:col>
      <xdr:colOff>508000</xdr:colOff>
      <xdr:row>27</xdr:row>
      <xdr:rowOff>63500</xdr:rowOff>
    </xdr:to>
    <xdr:graphicFrame macro="">
      <xdr:nvGraphicFramePr>
        <xdr:cNvPr id="35" name="Chart 34">
          <a:extLst>
            <a:ext uri="{FF2B5EF4-FFF2-40B4-BE49-F238E27FC236}">
              <a16:creationId xmlns:a16="http://schemas.microsoft.com/office/drawing/2014/main" id="{9B254393-9276-470E-B7DF-8AE8D9DC3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584201</xdr:colOff>
      <xdr:row>19</xdr:row>
      <xdr:rowOff>158750</xdr:rowOff>
    </xdr:from>
    <xdr:to>
      <xdr:col>11</xdr:col>
      <xdr:colOff>184150</xdr:colOff>
      <xdr:row>27</xdr:row>
      <xdr:rowOff>38100</xdr:rowOff>
    </xdr:to>
    <xdr:graphicFrame macro="">
      <xdr:nvGraphicFramePr>
        <xdr:cNvPr id="37" name="Chart 36">
          <a:extLst>
            <a:ext uri="{FF2B5EF4-FFF2-40B4-BE49-F238E27FC236}">
              <a16:creationId xmlns:a16="http://schemas.microsoft.com/office/drawing/2014/main" id="{266945B6-B244-424B-B6A7-82C24AB7A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266700</xdr:colOff>
      <xdr:row>27</xdr:row>
      <xdr:rowOff>50800</xdr:rowOff>
    </xdr:from>
    <xdr:to>
      <xdr:col>10</xdr:col>
      <xdr:colOff>260350</xdr:colOff>
      <xdr:row>34</xdr:row>
      <xdr:rowOff>139700</xdr:rowOff>
    </xdr:to>
    <xdr:sp macro="" textlink="">
      <xdr:nvSpPr>
        <xdr:cNvPr id="38" name="Rectangle: Rounded Corners 37">
          <a:extLst>
            <a:ext uri="{FF2B5EF4-FFF2-40B4-BE49-F238E27FC236}">
              <a16:creationId xmlns:a16="http://schemas.microsoft.com/office/drawing/2014/main" id="{CAA18719-6390-4150-B3F3-C2A271790282}"/>
            </a:ext>
          </a:extLst>
        </xdr:cNvPr>
        <xdr:cNvSpPr/>
      </xdr:nvSpPr>
      <xdr:spPr>
        <a:xfrm>
          <a:off x="266700" y="5022850"/>
          <a:ext cx="6089650" cy="1377950"/>
        </a:xfrm>
        <a:prstGeom prst="roundRect">
          <a:avLst>
            <a:gd name="adj" fmla="val 28649"/>
          </a:avLst>
        </a:prstGeom>
        <a:ln>
          <a:solidFill>
            <a:sysClr val="windowText" lastClr="000000"/>
          </a:solidFill>
        </a:ln>
        <a:effectLst>
          <a:innerShdw blurRad="63500" dist="50800" dir="135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AE" sz="1100"/>
        </a:p>
      </xdr:txBody>
    </xdr:sp>
    <xdr:clientData/>
  </xdr:twoCellAnchor>
  <xdr:twoCellAnchor>
    <xdr:from>
      <xdr:col>0</xdr:col>
      <xdr:colOff>260350</xdr:colOff>
      <xdr:row>26</xdr:row>
      <xdr:rowOff>171450</xdr:rowOff>
    </xdr:from>
    <xdr:to>
      <xdr:col>10</xdr:col>
      <xdr:colOff>361950</xdr:colOff>
      <xdr:row>34</xdr:row>
      <xdr:rowOff>152400</xdr:rowOff>
    </xdr:to>
    <xdr:graphicFrame macro="">
      <xdr:nvGraphicFramePr>
        <xdr:cNvPr id="39" name="Chart 38">
          <a:extLst>
            <a:ext uri="{FF2B5EF4-FFF2-40B4-BE49-F238E27FC236}">
              <a16:creationId xmlns:a16="http://schemas.microsoft.com/office/drawing/2014/main" id="{9C04DCCB-BCDC-42D3-9379-25454B11D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412750</xdr:colOff>
      <xdr:row>1</xdr:row>
      <xdr:rowOff>139700</xdr:rowOff>
    </xdr:from>
    <xdr:to>
      <xdr:col>9</xdr:col>
      <xdr:colOff>355600</xdr:colOff>
      <xdr:row>3</xdr:row>
      <xdr:rowOff>114300</xdr:rowOff>
    </xdr:to>
    <xdr:sp macro="" textlink="">
      <xdr:nvSpPr>
        <xdr:cNvPr id="40" name="Rectangle: Rounded Corners 39">
          <a:extLst>
            <a:ext uri="{FF2B5EF4-FFF2-40B4-BE49-F238E27FC236}">
              <a16:creationId xmlns:a16="http://schemas.microsoft.com/office/drawing/2014/main" id="{676BA343-1683-42CB-AE56-BF772DE0EF8D}"/>
            </a:ext>
          </a:extLst>
        </xdr:cNvPr>
        <xdr:cNvSpPr/>
      </xdr:nvSpPr>
      <xdr:spPr>
        <a:xfrm>
          <a:off x="1631950" y="323850"/>
          <a:ext cx="4210050" cy="342900"/>
        </a:xfrm>
        <a:prstGeom prst="roundRect">
          <a:avLst/>
        </a:prstGeom>
        <a:ln>
          <a:solidFill>
            <a:sysClr val="windowText" lastClr="000000"/>
          </a:solidFill>
        </a:ln>
        <a:effectLst>
          <a:innerShdw blurRad="63500" dist="50800" dir="135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400" b="0" i="1" cap="none" spc="0">
              <a:ln w="0"/>
              <a:solidFill>
                <a:schemeClr val="accent1"/>
              </a:solidFill>
              <a:effectLst>
                <a:outerShdw blurRad="38100" dist="25400" dir="5400000" algn="ctr" rotWithShape="0">
                  <a:srgbClr val="6E747A">
                    <a:alpha val="43000"/>
                  </a:srgbClr>
                </a:outerShdw>
              </a:effectLst>
            </a:rPr>
            <a:t>Sales Performance And Revenue Analytics Dashboard</a:t>
          </a:r>
          <a:endParaRPr lang="en-AE" sz="1400" b="0" i="1"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editAs="absolute">
    <xdr:from>
      <xdr:col>0</xdr:col>
      <xdr:colOff>361950</xdr:colOff>
      <xdr:row>2</xdr:row>
      <xdr:rowOff>69850</xdr:rowOff>
    </xdr:from>
    <xdr:to>
      <xdr:col>2</xdr:col>
      <xdr:colOff>75216</xdr:colOff>
      <xdr:row>12</xdr:row>
      <xdr:rowOff>107950</xdr:rowOff>
    </xdr:to>
    <mc:AlternateContent xmlns:mc="http://schemas.openxmlformats.org/markup-compatibility/2006">
      <mc:Choice xmlns:a14="http://schemas.microsoft.com/office/drawing/2010/main" Requires="a14">
        <xdr:graphicFrame macro="">
          <xdr:nvGraphicFramePr>
            <xdr:cNvPr id="41" name="month 1">
              <a:extLst>
                <a:ext uri="{FF2B5EF4-FFF2-40B4-BE49-F238E27FC236}">
                  <a16:creationId xmlns:a16="http://schemas.microsoft.com/office/drawing/2014/main" id="{B37007C2-67FB-45EB-B696-39A9437B5D3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361950" y="438150"/>
              <a:ext cx="932466" cy="18796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79.546710763891" createdVersion="8" refreshedVersion="8" minRefreshableVersion="3" recordCount="25" xr:uid="{0CF1B3C7-8702-4965-801B-4FF510965BC2}">
  <cacheSource type="worksheet">
    <worksheetSource name="Sales_Data_2025"/>
  </cacheSource>
  <cacheFields count="17">
    <cacheField name="inv_date" numFmtId="14">
      <sharedItems containsSemiMixedTypes="0" containsNonDate="0" containsDate="1" containsString="0" minDate="2025-01-12T00:00:00" maxDate="2026-03-16T00:00:00"/>
    </cacheField>
    <cacheField name="month" numFmtId="0">
      <sharedItems count="7">
        <s v="January"/>
        <s v="February"/>
        <s v="March"/>
        <s v="April"/>
        <s v="May"/>
        <s v="June"/>
        <s v="July"/>
      </sharedItems>
    </cacheField>
    <cacheField name="year" numFmtId="0">
      <sharedItems containsSemiMixedTypes="0" containsString="0" containsNumber="1" containsInteger="1" minValue="2025" maxValue="2026" count="2">
        <n v="2025"/>
        <n v="2026"/>
      </sharedItems>
    </cacheField>
    <cacheField name="sales_zone" numFmtId="0">
      <sharedItems count="4">
        <s v="East"/>
        <s v="North"/>
        <s v="South"/>
        <s v="West"/>
      </sharedItems>
    </cacheField>
    <cacheField name="country" numFmtId="0">
      <sharedItems/>
    </cacheField>
    <cacheField name="state" numFmtId="0">
      <sharedItems/>
    </cacheField>
    <cacheField name="city" numFmtId="0">
      <sharedItems count="24">
        <s v="Guwahati"/>
        <s v="Gurgaon"/>
        <s v="Mangalore"/>
        <s v="Surat"/>
        <s v="Cuttack"/>
        <s v="Kochi"/>
        <s v="Noida"/>
        <s v="Udaipur"/>
        <s v="Gaya"/>
        <s v="Madurai"/>
        <s v="Amritsar"/>
        <s v="Nagpur"/>
        <s v="Howrah"/>
        <s v="Warangal"/>
        <s v="Manali"/>
        <s v="Rajkot"/>
        <s v="Dhanbad"/>
        <s v="Hubli"/>
        <s v="Haridwar"/>
        <s v="Kota"/>
        <s v="Bangalore"/>
        <s v="New Delhi"/>
        <s v="Mumbai"/>
        <s v="Chennai"/>
      </sharedItems>
    </cacheField>
    <cacheField name="payment_mode" numFmtId="0">
      <sharedItems count="4">
        <s v="UPI"/>
        <s v="Credit Card"/>
        <s v="Debit Card"/>
        <s v="Cash"/>
      </sharedItems>
    </cacheField>
    <cacheField name="revenue" numFmtId="0">
      <sharedItems containsSemiMixedTypes="0" containsString="0" containsNumber="1" containsInteger="1" minValue="8000" maxValue="45000" count="23">
        <n v="18000"/>
        <n v="32000"/>
        <n v="14000"/>
        <n v="21000"/>
        <n v="9000"/>
        <n v="45000"/>
        <n v="24000"/>
        <n v="16000"/>
        <n v="11000"/>
        <n v="28000"/>
        <n v="17000"/>
        <n v="15000"/>
        <n v="22000"/>
        <n v="13000"/>
        <n v="10000"/>
        <n v="27000"/>
        <n v="8000"/>
        <n v="20000"/>
        <n v="26000"/>
        <n v="38000"/>
        <n v="30000"/>
        <n v="12000"/>
        <n v="42000"/>
      </sharedItems>
    </cacheField>
    <cacheField name="unit_price" numFmtId="0">
      <sharedItems containsSemiMixedTypes="0" containsString="0" containsNumber="1" containsInteger="1" minValue="3000" maxValue="19000"/>
    </cacheField>
    <cacheField name="quantity" numFmtId="0">
      <sharedItems containsSemiMixedTypes="0" containsString="0" containsNumber="1" containsInteger="1" minValue="2" maxValue="4" count="3">
        <n v="3"/>
        <n v="4"/>
        <n v="2"/>
      </sharedItems>
    </cacheField>
    <cacheField name="product_name" numFmtId="0">
      <sharedItems count="7">
        <s v="Printer"/>
        <s v="Laptop"/>
        <s v="Monitor"/>
        <s v="Tablet"/>
        <s v="Desk"/>
        <s v="Smartphone"/>
        <s v="Office Chair"/>
      </sharedItems>
    </cacheField>
    <cacheField name="category" numFmtId="0">
      <sharedItems count="2">
        <s v="Electronics"/>
        <s v="Furniture"/>
      </sharedItems>
    </cacheField>
    <cacheField name="sub_category" numFmtId="0">
      <sharedItems count="6">
        <s v="Accessories"/>
        <s v="Computers"/>
        <s v="Displays"/>
        <s v="Mobile Devices"/>
        <s v="Office"/>
        <s v="Seating"/>
      </sharedItems>
    </cacheField>
    <cacheField name="salesman" numFmtId="0">
      <sharedItems count="4">
        <s v="Arjun"/>
        <s v="Rahul"/>
        <s v="Sneha"/>
        <s v="Anita"/>
      </sharedItems>
    </cacheField>
    <cacheField name="discount" numFmtId="0">
      <sharedItems containsSemiMixedTypes="0" containsString="0" containsNumber="1" containsInteger="1" minValue="200" maxValue="2500"/>
    </cacheField>
    <cacheField name="profit" numFmtId="0">
      <sharedItems containsSemiMixedTypes="0" containsString="0" containsNumber="1" containsInteger="1" minValue="1500" maxValue="10000"/>
    </cacheField>
  </cacheFields>
  <extLst>
    <ext xmlns:x14="http://schemas.microsoft.com/office/spreadsheetml/2009/9/main" uri="{725AE2AE-9491-48be-B2B4-4EB974FC3084}">
      <x14:pivotCacheDefinition pivotCacheId="1047819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d v="2025-01-12T00:00:00"/>
    <x v="0"/>
    <x v="0"/>
    <x v="0"/>
    <s v="India"/>
    <s v="Assam"/>
    <x v="0"/>
    <x v="0"/>
    <x v="0"/>
    <n v="6000"/>
    <x v="0"/>
    <x v="0"/>
    <x v="0"/>
    <x v="0"/>
    <x v="0"/>
    <n v="1000"/>
    <n v="4000"/>
  </r>
  <r>
    <d v="2025-01-18T00:00:00"/>
    <x v="0"/>
    <x v="0"/>
    <x v="1"/>
    <s v="India"/>
    <s v="Haryana"/>
    <x v="1"/>
    <x v="1"/>
    <x v="1"/>
    <n v="8000"/>
    <x v="1"/>
    <x v="1"/>
    <x v="0"/>
    <x v="1"/>
    <x v="1"/>
    <n v="2000"/>
    <n v="8000"/>
  </r>
  <r>
    <d v="2025-01-22T00:00:00"/>
    <x v="0"/>
    <x v="0"/>
    <x v="2"/>
    <s v="India"/>
    <s v="Karnataka"/>
    <x v="2"/>
    <x v="2"/>
    <x v="2"/>
    <n v="7000"/>
    <x v="2"/>
    <x v="2"/>
    <x v="0"/>
    <x v="2"/>
    <x v="2"/>
    <n v="500"/>
    <n v="3000"/>
  </r>
  <r>
    <d v="2025-02-05T00:00:00"/>
    <x v="1"/>
    <x v="0"/>
    <x v="3"/>
    <s v="India"/>
    <s v="Gujarat"/>
    <x v="3"/>
    <x v="0"/>
    <x v="3"/>
    <n v="7000"/>
    <x v="0"/>
    <x v="3"/>
    <x v="0"/>
    <x v="3"/>
    <x v="3"/>
    <n v="1500"/>
    <n v="5000"/>
  </r>
  <r>
    <d v="2025-02-09T00:00:00"/>
    <x v="1"/>
    <x v="0"/>
    <x v="0"/>
    <s v="India"/>
    <s v="Odisha"/>
    <x v="4"/>
    <x v="3"/>
    <x v="4"/>
    <n v="3000"/>
    <x v="0"/>
    <x v="4"/>
    <x v="1"/>
    <x v="4"/>
    <x v="0"/>
    <n v="300"/>
    <n v="2000"/>
  </r>
  <r>
    <d v="2025-02-20T00:00:00"/>
    <x v="1"/>
    <x v="0"/>
    <x v="2"/>
    <s v="India"/>
    <s v="Kerala"/>
    <x v="5"/>
    <x v="1"/>
    <x v="5"/>
    <n v="15000"/>
    <x v="0"/>
    <x v="5"/>
    <x v="0"/>
    <x v="3"/>
    <x v="2"/>
    <n v="2500"/>
    <n v="9000"/>
  </r>
  <r>
    <d v="2025-03-05T00:00:00"/>
    <x v="2"/>
    <x v="0"/>
    <x v="1"/>
    <s v="India"/>
    <s v="Uttar Pradesh"/>
    <x v="6"/>
    <x v="0"/>
    <x v="6"/>
    <n v="8000"/>
    <x v="0"/>
    <x v="3"/>
    <x v="0"/>
    <x v="3"/>
    <x v="1"/>
    <n v="1200"/>
    <n v="6000"/>
  </r>
  <r>
    <d v="2025-03-12T00:00:00"/>
    <x v="2"/>
    <x v="0"/>
    <x v="3"/>
    <s v="India"/>
    <s v="Rajasthan"/>
    <x v="7"/>
    <x v="2"/>
    <x v="7"/>
    <n v="4000"/>
    <x v="1"/>
    <x v="6"/>
    <x v="1"/>
    <x v="5"/>
    <x v="3"/>
    <n v="600"/>
    <n v="3500"/>
  </r>
  <r>
    <d v="2025-03-18T00:00:00"/>
    <x v="2"/>
    <x v="0"/>
    <x v="0"/>
    <s v="India"/>
    <s v="Bihar"/>
    <x v="8"/>
    <x v="3"/>
    <x v="8"/>
    <n v="5500"/>
    <x v="2"/>
    <x v="2"/>
    <x v="0"/>
    <x v="2"/>
    <x v="0"/>
    <n v="400"/>
    <n v="2500"/>
  </r>
  <r>
    <d v="2025-04-02T00:00:00"/>
    <x v="3"/>
    <x v="0"/>
    <x v="2"/>
    <s v="India"/>
    <s v="Tamil Nadu"/>
    <x v="9"/>
    <x v="0"/>
    <x v="9"/>
    <n v="14000"/>
    <x v="2"/>
    <x v="1"/>
    <x v="0"/>
    <x v="1"/>
    <x v="2"/>
    <n v="1500"/>
    <n v="7000"/>
  </r>
  <r>
    <d v="2025-04-10T00:00:00"/>
    <x v="3"/>
    <x v="0"/>
    <x v="1"/>
    <s v="India"/>
    <s v="Punjab"/>
    <x v="10"/>
    <x v="1"/>
    <x v="10"/>
    <n v="8500"/>
    <x v="2"/>
    <x v="3"/>
    <x v="0"/>
    <x v="3"/>
    <x v="1"/>
    <n v="700"/>
    <n v="4000"/>
  </r>
  <r>
    <d v="2025-04-20T00:00:00"/>
    <x v="3"/>
    <x v="0"/>
    <x v="3"/>
    <s v="India"/>
    <s v="Maharashtra"/>
    <x v="11"/>
    <x v="2"/>
    <x v="11"/>
    <n v="5000"/>
    <x v="0"/>
    <x v="0"/>
    <x v="0"/>
    <x v="0"/>
    <x v="3"/>
    <n v="500"/>
    <n v="3000"/>
  </r>
  <r>
    <d v="2025-05-05T00:00:00"/>
    <x v="4"/>
    <x v="0"/>
    <x v="0"/>
    <s v="India"/>
    <s v="West Bengal"/>
    <x v="12"/>
    <x v="0"/>
    <x v="12"/>
    <n v="11000"/>
    <x v="2"/>
    <x v="5"/>
    <x v="0"/>
    <x v="3"/>
    <x v="0"/>
    <n v="1000"/>
    <n v="5000"/>
  </r>
  <r>
    <d v="2025-05-12T00:00:00"/>
    <x v="4"/>
    <x v="0"/>
    <x v="2"/>
    <s v="India"/>
    <s v="Telangana"/>
    <x v="13"/>
    <x v="3"/>
    <x v="13"/>
    <n v="6500"/>
    <x v="2"/>
    <x v="2"/>
    <x v="0"/>
    <x v="2"/>
    <x v="2"/>
    <n v="600"/>
    <n v="2800"/>
  </r>
  <r>
    <d v="2025-05-18T00:00:00"/>
    <x v="4"/>
    <x v="0"/>
    <x v="1"/>
    <s v="India"/>
    <s v="Himachal Pradesh"/>
    <x v="14"/>
    <x v="1"/>
    <x v="14"/>
    <n v="5000"/>
    <x v="2"/>
    <x v="4"/>
    <x v="1"/>
    <x v="4"/>
    <x v="1"/>
    <n v="400"/>
    <n v="2200"/>
  </r>
  <r>
    <d v="2025-06-02T00:00:00"/>
    <x v="5"/>
    <x v="0"/>
    <x v="3"/>
    <s v="India"/>
    <s v="Gujarat"/>
    <x v="15"/>
    <x v="0"/>
    <x v="15"/>
    <n v="9000"/>
    <x v="0"/>
    <x v="1"/>
    <x v="0"/>
    <x v="1"/>
    <x v="3"/>
    <n v="1200"/>
    <n v="6500"/>
  </r>
  <r>
    <d v="2025-06-11T00:00:00"/>
    <x v="5"/>
    <x v="0"/>
    <x v="0"/>
    <s v="India"/>
    <s v="Jharkhand"/>
    <x v="16"/>
    <x v="2"/>
    <x v="16"/>
    <n v="4000"/>
    <x v="2"/>
    <x v="0"/>
    <x v="0"/>
    <x v="0"/>
    <x v="0"/>
    <n v="200"/>
    <n v="1500"/>
  </r>
  <r>
    <d v="2025-06-25T00:00:00"/>
    <x v="5"/>
    <x v="0"/>
    <x v="2"/>
    <s v="India"/>
    <s v="Karnataka"/>
    <x v="17"/>
    <x v="3"/>
    <x v="17"/>
    <n v="10000"/>
    <x v="2"/>
    <x v="3"/>
    <x v="0"/>
    <x v="3"/>
    <x v="2"/>
    <n v="900"/>
    <n v="4500"/>
  </r>
  <r>
    <d v="2025-07-07T00:00:00"/>
    <x v="6"/>
    <x v="0"/>
    <x v="1"/>
    <s v="India"/>
    <s v="Uttarakhand"/>
    <x v="18"/>
    <x v="0"/>
    <x v="11"/>
    <n v="7500"/>
    <x v="2"/>
    <x v="6"/>
    <x v="1"/>
    <x v="5"/>
    <x v="1"/>
    <n v="500"/>
    <n v="3000"/>
  </r>
  <r>
    <d v="2025-07-16T00:00:00"/>
    <x v="6"/>
    <x v="0"/>
    <x v="3"/>
    <s v="India"/>
    <s v="Rajasthan"/>
    <x v="19"/>
    <x v="1"/>
    <x v="18"/>
    <n v="13000"/>
    <x v="2"/>
    <x v="5"/>
    <x v="0"/>
    <x v="3"/>
    <x v="3"/>
    <n v="1500"/>
    <n v="6000"/>
  </r>
  <r>
    <d v="2026-01-05T00:00:00"/>
    <x v="0"/>
    <x v="1"/>
    <x v="2"/>
    <s v="India"/>
    <s v="Karnataka"/>
    <x v="20"/>
    <x v="0"/>
    <x v="19"/>
    <n v="19000"/>
    <x v="2"/>
    <x v="1"/>
    <x v="0"/>
    <x v="1"/>
    <x v="2"/>
    <n v="2000"/>
    <n v="9000"/>
  </r>
  <r>
    <d v="2026-01-18T00:00:00"/>
    <x v="0"/>
    <x v="1"/>
    <x v="1"/>
    <s v="India"/>
    <s v="Delhi"/>
    <x v="21"/>
    <x v="1"/>
    <x v="3"/>
    <n v="7000"/>
    <x v="0"/>
    <x v="3"/>
    <x v="0"/>
    <x v="3"/>
    <x v="1"/>
    <n v="1000"/>
    <n v="5000"/>
  </r>
  <r>
    <d v="2026-02-10T00:00:00"/>
    <x v="1"/>
    <x v="1"/>
    <x v="3"/>
    <s v="India"/>
    <s v="Maharashtra"/>
    <x v="22"/>
    <x v="2"/>
    <x v="20"/>
    <n v="15000"/>
    <x v="2"/>
    <x v="5"/>
    <x v="0"/>
    <x v="3"/>
    <x v="3"/>
    <n v="1800"/>
    <n v="7500"/>
  </r>
  <r>
    <d v="2026-02-22T00:00:00"/>
    <x v="1"/>
    <x v="1"/>
    <x v="0"/>
    <s v="India"/>
    <s v="Assam"/>
    <x v="0"/>
    <x v="3"/>
    <x v="21"/>
    <n v="6000"/>
    <x v="2"/>
    <x v="2"/>
    <x v="0"/>
    <x v="2"/>
    <x v="0"/>
    <n v="400"/>
    <n v="2500"/>
  </r>
  <r>
    <d v="2026-03-15T00:00:00"/>
    <x v="2"/>
    <x v="1"/>
    <x v="2"/>
    <s v="India"/>
    <s v="Tamil Nadu"/>
    <x v="23"/>
    <x v="0"/>
    <x v="22"/>
    <n v="14000"/>
    <x v="0"/>
    <x v="1"/>
    <x v="0"/>
    <x v="1"/>
    <x v="2"/>
    <n v="2200"/>
    <n v="1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64145C-4D7E-48F7-B260-13869B34390B}" name="PivotTable19" cacheId="2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6">
  <location ref="C62:E64" firstHeaderRow="1" firstDataRow="2" firstDataCol="1"/>
  <pivotFields count="17">
    <pivotField dataField="1" compact="0" numFmtId="14" outline="0" showAll="0"/>
    <pivotField compact="0" outline="0" showAll="0">
      <items count="8">
        <item x="0"/>
        <item x="1"/>
        <item x="2"/>
        <item x="3"/>
        <item x="4"/>
        <item x="5"/>
        <item x="6"/>
        <item t="default"/>
      </items>
    </pivotField>
    <pivotField compact="0" outline="0" showAll="0"/>
    <pivotField compact="0" outline="0" showAll="0">
      <items count="5">
        <item x="0"/>
        <item x="1"/>
        <item x="2"/>
        <item x="3"/>
        <item t="default"/>
      </items>
    </pivotField>
    <pivotField compact="0" outline="0" showAll="0"/>
    <pivotField compact="0" outline="0" showAll="0"/>
    <pivotField compact="0" outline="0" showAll="0"/>
    <pivotField compact="0" outline="0" showAll="0"/>
    <pivotField compact="0" outline="0" showAll="0">
      <items count="24">
        <item x="16"/>
        <item x="4"/>
        <item x="14"/>
        <item x="8"/>
        <item x="21"/>
        <item x="13"/>
        <item x="2"/>
        <item x="11"/>
        <item x="7"/>
        <item x="10"/>
        <item x="0"/>
        <item x="17"/>
        <item x="3"/>
        <item x="12"/>
        <item x="6"/>
        <item x="18"/>
        <item x="15"/>
        <item x="9"/>
        <item x="20"/>
        <item x="1"/>
        <item x="19"/>
        <item x="22"/>
        <item x="5"/>
        <item t="default"/>
      </items>
    </pivotField>
    <pivotField compact="0" outline="0" showAll="0"/>
    <pivotField compact="0" outline="0" showAll="0"/>
    <pivotField compact="0" outline="0" showAll="0">
      <items count="8">
        <item x="4"/>
        <item x="1"/>
        <item x="2"/>
        <item x="6"/>
        <item x="0"/>
        <item x="5"/>
        <item x="3"/>
        <item t="default"/>
      </items>
    </pivotField>
    <pivotField compact="0" outline="0" showAll="0"/>
    <pivotField compact="0" outline="0" showAll="0"/>
    <pivotField compact="0" outline="0" showAll="0">
      <items count="5">
        <item x="3"/>
        <item x="0"/>
        <item x="1"/>
        <item x="2"/>
        <item t="default"/>
      </items>
    </pivotField>
    <pivotField compact="0" outline="0" showAll="0"/>
    <pivotField compact="0" outline="0" showAll="0"/>
  </pivotFields>
  <rowItems count="1">
    <i/>
  </rowItems>
  <colFields count="1">
    <field x="-2"/>
  </colFields>
  <colItems count="2">
    <i>
      <x/>
    </i>
    <i i="1">
      <x v="1"/>
    </i>
  </colItems>
  <dataFields count="2">
    <dataField name="Count of inv_date2" fld="0" subtotal="count" baseField="0" baseItem="1"/>
    <dataField name="Count of inv_da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C44DF3-73CA-4139-B274-09BA4DFC4A98}" name="PivotTable17" cacheId="2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4">
  <location ref="AC11:AE15" firstHeaderRow="1" firstDataRow="2" firstDataCol="1"/>
  <pivotFields count="17">
    <pivotField compact="0" numFmtId="14" outline="0" showAll="0"/>
    <pivotField compact="0" outline="0" showAll="0">
      <items count="8">
        <item x="0"/>
        <item x="1"/>
        <item x="2"/>
        <item x="3"/>
        <item x="4"/>
        <item x="5"/>
        <item x="6"/>
        <item t="default"/>
      </items>
    </pivotField>
    <pivotField axis="axisRow" compact="0" outline="0" showAll="0">
      <items count="3">
        <item x="0"/>
        <item x="1"/>
        <item t="default"/>
      </items>
    </pivotField>
    <pivotField compact="0" outline="0" showAll="0">
      <items count="5">
        <item x="0"/>
        <item x="1"/>
        <item x="2"/>
        <item x="3"/>
        <item t="default"/>
      </items>
    </pivotField>
    <pivotField compact="0" outline="0" showAll="0"/>
    <pivotField compact="0" outline="0" showAll="0"/>
    <pivotField compact="0" outline="0" showAll="0"/>
    <pivotField compact="0" outline="0" showAll="0"/>
    <pivotField dataField="1" compact="0" outline="0" showAll="0">
      <items count="24">
        <item x="16"/>
        <item x="4"/>
        <item x="14"/>
        <item x="8"/>
        <item x="21"/>
        <item x="13"/>
        <item x="2"/>
        <item x="11"/>
        <item x="7"/>
        <item x="10"/>
        <item x="0"/>
        <item x="17"/>
        <item x="3"/>
        <item x="12"/>
        <item x="6"/>
        <item x="18"/>
        <item x="15"/>
        <item x="9"/>
        <item x="20"/>
        <item x="1"/>
        <item x="19"/>
        <item x="22"/>
        <item x="5"/>
        <item t="default"/>
      </items>
    </pivotField>
    <pivotField compact="0" outline="0" showAll="0"/>
    <pivotField compact="0" outline="0" showAll="0"/>
    <pivotField compact="0" outline="0" showAll="0">
      <items count="8">
        <item x="4"/>
        <item x="1"/>
        <item x="2"/>
        <item x="6"/>
        <item x="0"/>
        <item x="5"/>
        <item x="3"/>
        <item t="default"/>
      </items>
    </pivotField>
    <pivotField compact="0" outline="0" showAll="0"/>
    <pivotField compact="0" outline="0" showAll="0"/>
    <pivotField compact="0" outline="0" showAll="0">
      <items count="5">
        <item x="3"/>
        <item x="0"/>
        <item x="1"/>
        <item x="2"/>
        <item t="default"/>
      </items>
    </pivotField>
    <pivotField compact="0" outline="0" showAll="0"/>
    <pivotField compact="0" outline="0" showAll="0"/>
  </pivotFields>
  <rowFields count="1">
    <field x="2"/>
  </rowFields>
  <rowItems count="3">
    <i>
      <x/>
    </i>
    <i>
      <x v="1"/>
    </i>
    <i t="grand">
      <x/>
    </i>
  </rowItems>
  <colFields count="1">
    <field x="-2"/>
  </colFields>
  <colItems count="2">
    <i>
      <x/>
    </i>
    <i i="1">
      <x v="1"/>
    </i>
  </colItems>
  <dataFields count="2">
    <dataField name="Sum of revenue2" fld="8" baseField="0" baseItem="0"/>
    <dataField name="Sum of revenue" fld="8" showDataAs="percentDiff" baseField="2" baseItem="1" numFmtId="9"/>
  </dataFields>
  <chartFormats count="6">
    <chartFormat chart="0" format="0"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342974-4D3E-4537-B77A-C4E69C2B01CC}" name="PivotTable15" cacheId="2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
  <location ref="AC3:AE7" firstHeaderRow="1" firstDataRow="2" firstDataCol="1"/>
  <pivotFields count="17">
    <pivotField compact="0" numFmtId="14" outline="0" showAll="0"/>
    <pivotField compact="0" outline="0" showAll="0">
      <items count="8">
        <item x="0"/>
        <item x="1"/>
        <item x="2"/>
        <item x="3"/>
        <item x="4"/>
        <item x="5"/>
        <item x="6"/>
        <item t="default"/>
      </items>
    </pivotField>
    <pivotField axis="axisRow" compact="0" outline="0" showAll="0">
      <items count="3">
        <item x="0"/>
        <item x="1"/>
        <item t="default"/>
      </items>
    </pivotField>
    <pivotField compact="0" outline="0" showAll="0">
      <items count="5">
        <item x="0"/>
        <item x="1"/>
        <item x="2"/>
        <item x="3"/>
        <item t="default"/>
      </items>
    </pivotField>
    <pivotField compact="0" outline="0" showAll="0"/>
    <pivotField compact="0" outline="0" showAll="0"/>
    <pivotField compact="0" outline="0" showAll="0"/>
    <pivotField compact="0" outline="0" showAll="0"/>
    <pivotField dataField="1" compact="0" outline="0" showAll="0">
      <items count="24">
        <item x="16"/>
        <item x="4"/>
        <item x="14"/>
        <item x="8"/>
        <item x="21"/>
        <item x="13"/>
        <item x="2"/>
        <item x="11"/>
        <item x="7"/>
        <item x="10"/>
        <item x="0"/>
        <item x="17"/>
        <item x="3"/>
        <item x="12"/>
        <item x="6"/>
        <item x="18"/>
        <item x="15"/>
        <item x="9"/>
        <item x="20"/>
        <item x="1"/>
        <item x="19"/>
        <item x="22"/>
        <item x="5"/>
        <item t="default"/>
      </items>
    </pivotField>
    <pivotField compact="0" outline="0" showAll="0"/>
    <pivotField compact="0" outline="0" showAll="0"/>
    <pivotField compact="0" outline="0" showAll="0">
      <items count="8">
        <item x="4"/>
        <item x="1"/>
        <item x="2"/>
        <item x="6"/>
        <item x="0"/>
        <item x="5"/>
        <item x="3"/>
        <item t="default"/>
      </items>
    </pivotField>
    <pivotField compact="0" outline="0" showAll="0"/>
    <pivotField compact="0" outline="0" showAll="0"/>
    <pivotField compact="0" outline="0" showAll="0">
      <items count="5">
        <item x="3"/>
        <item x="0"/>
        <item x="1"/>
        <item x="2"/>
        <item t="default"/>
      </items>
    </pivotField>
    <pivotField compact="0" outline="0" showAll="0"/>
    <pivotField compact="0" outline="0" showAll="0"/>
  </pivotFields>
  <rowFields count="1">
    <field x="2"/>
  </rowFields>
  <rowItems count="3">
    <i>
      <x/>
    </i>
    <i>
      <x v="1"/>
    </i>
    <i t="grand">
      <x/>
    </i>
  </rowItems>
  <colFields count="1">
    <field x="-2"/>
  </colFields>
  <colItems count="2">
    <i>
      <x/>
    </i>
    <i i="1">
      <x v="1"/>
    </i>
  </colItems>
  <dataFields count="2">
    <dataField name="Sum of revenue" fld="8" baseField="0" baseItem="0" numFmtId="169"/>
    <dataField name="Sum of revenue2" fld="8" showDataAs="percentDiff" baseField="2" baseItem="1" numFmtId="1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DAA4EE-109F-4706-9AB4-D3083C509B17}" name="PivotTable14" cacheId="2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location ref="Z3:AA29" firstHeaderRow="2" firstDataRow="2" firstDataCol="1"/>
  <pivotFields count="17">
    <pivotField compact="0" numFmtId="14" outline="0" showAll="0"/>
    <pivotField compact="0" outline="0" showAll="0">
      <items count="8">
        <item x="0"/>
        <item x="1"/>
        <item x="2"/>
        <item x="3"/>
        <item x="4"/>
        <item x="5"/>
        <item x="6"/>
        <item t="default"/>
      </items>
    </pivotField>
    <pivotField compact="0" outline="0" showAll="0"/>
    <pivotField compact="0" outline="0" showAll="0">
      <items count="5">
        <item x="0"/>
        <item x="1"/>
        <item x="2"/>
        <item x="3"/>
        <item t="default"/>
      </items>
    </pivotField>
    <pivotField compact="0" outline="0" showAll="0"/>
    <pivotField compact="0" outline="0" showAll="0"/>
    <pivotField axis="axisRow" compact="0" outline="0" showAll="0">
      <items count="25">
        <item x="10"/>
        <item x="20"/>
        <item x="23"/>
        <item x="4"/>
        <item x="16"/>
        <item x="8"/>
        <item x="1"/>
        <item x="0"/>
        <item x="18"/>
        <item x="12"/>
        <item x="17"/>
        <item x="5"/>
        <item x="19"/>
        <item x="9"/>
        <item x="14"/>
        <item x="2"/>
        <item x="22"/>
        <item x="11"/>
        <item x="21"/>
        <item x="6"/>
        <item x="15"/>
        <item x="3"/>
        <item x="7"/>
        <item x="13"/>
        <item t="default"/>
      </items>
    </pivotField>
    <pivotField compact="0" outline="0" showAll="0"/>
    <pivotField compact="0" outline="0" showAll="0">
      <items count="24">
        <item x="16"/>
        <item x="4"/>
        <item x="14"/>
        <item x="8"/>
        <item x="21"/>
        <item x="13"/>
        <item x="2"/>
        <item x="11"/>
        <item x="7"/>
        <item x="10"/>
        <item x="0"/>
        <item x="17"/>
        <item x="3"/>
        <item x="12"/>
        <item x="6"/>
        <item x="18"/>
        <item x="15"/>
        <item x="9"/>
        <item x="20"/>
        <item x="1"/>
        <item x="19"/>
        <item x="22"/>
        <item x="5"/>
        <item t="default"/>
      </items>
    </pivotField>
    <pivotField compact="0" outline="0" showAll="0"/>
    <pivotField dataField="1" compact="0" outline="0" showAll="0"/>
    <pivotField compact="0" outline="0" showAll="0">
      <items count="8">
        <item x="4"/>
        <item x="1"/>
        <item x="2"/>
        <item x="6"/>
        <item x="0"/>
        <item x="5"/>
        <item x="3"/>
        <item t="default"/>
      </items>
    </pivotField>
    <pivotField compact="0" outline="0" showAll="0"/>
    <pivotField compact="0" outline="0" showAll="0"/>
    <pivotField compact="0" outline="0" showAll="0">
      <items count="5">
        <item x="3"/>
        <item x="0"/>
        <item x="1"/>
        <item x="2"/>
        <item t="default"/>
      </items>
    </pivotField>
    <pivotField compact="0" outline="0" showAll="0"/>
    <pivotField compact="0" outline="0" showAll="0"/>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quantity"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AF4F7A-851B-4A48-9782-C29B29402CD6}" name="PivotTable13" cacheId="2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location ref="Q3:X7" firstHeaderRow="1" firstDataRow="2" firstDataCol="1"/>
  <pivotFields count="17">
    <pivotField compact="0" numFmtId="14" outline="0" showAll="0"/>
    <pivotField compact="0" outline="0" showAll="0">
      <items count="8">
        <item x="0"/>
        <item x="1"/>
        <item x="2"/>
        <item x="3"/>
        <item x="4"/>
        <item x="5"/>
        <item x="6"/>
        <item t="default"/>
      </items>
    </pivotField>
    <pivotField compact="0" outline="0" showAll="0"/>
    <pivotField compact="0" outline="0" showAll="0">
      <items count="5">
        <item x="0"/>
        <item x="1"/>
        <item x="2"/>
        <item x="3"/>
        <item t="default"/>
      </items>
    </pivotField>
    <pivotField compact="0" outline="0" showAll="0"/>
    <pivotField compact="0" outline="0" showAll="0"/>
    <pivotField compact="0" outline="0" showAll="0"/>
    <pivotField compact="0" outline="0" showAll="0"/>
    <pivotField dataField="1" compact="0" outline="0" showAll="0">
      <items count="24">
        <item x="16"/>
        <item x="4"/>
        <item x="14"/>
        <item x="8"/>
        <item x="21"/>
        <item x="13"/>
        <item x="2"/>
        <item x="11"/>
        <item x="7"/>
        <item x="10"/>
        <item x="0"/>
        <item x="17"/>
        <item x="3"/>
        <item x="12"/>
        <item x="6"/>
        <item x="18"/>
        <item x="15"/>
        <item x="9"/>
        <item x="20"/>
        <item x="1"/>
        <item x="19"/>
        <item x="22"/>
        <item x="5"/>
        <item t="default"/>
      </items>
    </pivotField>
    <pivotField compact="0" outline="0" showAll="0"/>
    <pivotField compact="0" outline="0" showAll="0"/>
    <pivotField compact="0" outline="0" showAll="0">
      <items count="8">
        <item x="4"/>
        <item x="1"/>
        <item x="2"/>
        <item x="6"/>
        <item x="0"/>
        <item x="5"/>
        <item x="3"/>
        <item t="default"/>
      </items>
    </pivotField>
    <pivotField axis="axisRow" compact="0" outline="0" showAll="0">
      <items count="3">
        <item x="0"/>
        <item x="1"/>
        <item t="default"/>
      </items>
    </pivotField>
    <pivotField axis="axisCol" compact="0" outline="0" showAll="0">
      <items count="7">
        <item x="0"/>
        <item x="1"/>
        <item x="2"/>
        <item x="3"/>
        <item x="4"/>
        <item x="5"/>
        <item t="default"/>
      </items>
    </pivotField>
    <pivotField compact="0" outline="0" showAll="0">
      <items count="5">
        <item x="3"/>
        <item x="0"/>
        <item x="1"/>
        <item x="2"/>
        <item t="default"/>
      </items>
    </pivotField>
    <pivotField compact="0" outline="0" showAll="0"/>
    <pivotField compact="0" outline="0" showAll="0"/>
  </pivotFields>
  <rowFields count="1">
    <field x="12"/>
  </rowFields>
  <rowItems count="3">
    <i>
      <x/>
    </i>
    <i>
      <x v="1"/>
    </i>
    <i t="grand">
      <x/>
    </i>
  </rowItems>
  <colFields count="1">
    <field x="13"/>
  </colFields>
  <colItems count="7">
    <i>
      <x/>
    </i>
    <i>
      <x v="1"/>
    </i>
    <i>
      <x v="2"/>
    </i>
    <i>
      <x v="3"/>
    </i>
    <i>
      <x v="4"/>
    </i>
    <i>
      <x v="5"/>
    </i>
    <i t="grand">
      <x/>
    </i>
  </colItems>
  <dataFields count="1">
    <dataField name="Sum of revenue" fld="8" baseField="0" baseItem="0"/>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2">
          <reference field="4294967294" count="1" selected="0">
            <x v="0"/>
          </reference>
          <reference field="13" count="1" selected="0">
            <x v="4"/>
          </reference>
        </references>
      </pivotArea>
    </chartFormat>
    <chartFormat chart="0" format="5" series="1">
      <pivotArea type="data" outline="0" fieldPosition="0">
        <references count="2">
          <reference field="4294967294" count="1" selected="0">
            <x v="0"/>
          </reference>
          <reference field="13" count="1" selected="0">
            <x v="5"/>
          </reference>
        </references>
      </pivotArea>
    </chartFormat>
    <chartFormat chart="2" format="12" series="1">
      <pivotArea type="data" outline="0" fieldPosition="0">
        <references count="2">
          <reference field="4294967294" count="1" selected="0">
            <x v="0"/>
          </reference>
          <reference field="13" count="1" selected="0">
            <x v="0"/>
          </reference>
        </references>
      </pivotArea>
    </chartFormat>
    <chartFormat chart="2" format="13" series="1">
      <pivotArea type="data" outline="0" fieldPosition="0">
        <references count="2">
          <reference field="4294967294" count="1" selected="0">
            <x v="0"/>
          </reference>
          <reference field="13" count="1" selected="0">
            <x v="1"/>
          </reference>
        </references>
      </pivotArea>
    </chartFormat>
    <chartFormat chart="2" format="14" series="1">
      <pivotArea type="data" outline="0" fieldPosition="0">
        <references count="2">
          <reference field="4294967294" count="1" selected="0">
            <x v="0"/>
          </reference>
          <reference field="13" count="1" selected="0">
            <x v="2"/>
          </reference>
        </references>
      </pivotArea>
    </chartFormat>
    <chartFormat chart="2" format="15" series="1">
      <pivotArea type="data" outline="0" fieldPosition="0">
        <references count="2">
          <reference field="4294967294" count="1" selected="0">
            <x v="0"/>
          </reference>
          <reference field="13" count="1" selected="0">
            <x v="3"/>
          </reference>
        </references>
      </pivotArea>
    </chartFormat>
    <chartFormat chart="2" format="16" series="1">
      <pivotArea type="data" outline="0" fieldPosition="0">
        <references count="2">
          <reference field="4294967294" count="1" selected="0">
            <x v="0"/>
          </reference>
          <reference field="13" count="1" selected="0">
            <x v="4"/>
          </reference>
        </references>
      </pivotArea>
    </chartFormat>
    <chartFormat chart="2" format="17" series="1">
      <pivotArea type="data" outline="0" fieldPosition="0">
        <references count="2">
          <reference field="4294967294" count="1" selected="0">
            <x v="0"/>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CF8AC2-C9DF-4DAE-A5CD-F8F6A5E3E8FB}" name="PivotTable12" cacheId="2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location ref="M3:O9" firstHeaderRow="1" firstDataRow="2" firstDataCol="1"/>
  <pivotFields count="17">
    <pivotField compact="0" numFmtId="14" outline="0" showAll="0"/>
    <pivotField compact="0" outline="0" showAll="0">
      <items count="8">
        <item x="0"/>
        <item x="1"/>
        <item x="2"/>
        <item x="3"/>
        <item x="4"/>
        <item x="5"/>
        <item x="6"/>
        <item t="default"/>
      </items>
    </pivotField>
    <pivotField compact="0" outline="0" showAll="0"/>
    <pivotField compact="0" outline="0" showAll="0">
      <items count="5">
        <item x="0"/>
        <item x="1"/>
        <item x="2"/>
        <item x="3"/>
        <item t="default"/>
      </items>
    </pivotField>
    <pivotField compact="0" outline="0" showAll="0"/>
    <pivotField compact="0" outline="0" showAll="0"/>
    <pivotField compact="0" outline="0" showAll="0"/>
    <pivotField axis="axisRow" compact="0" outline="0" showAll="0">
      <items count="5">
        <item x="3"/>
        <item x="1"/>
        <item x="2"/>
        <item x="0"/>
        <item t="default"/>
      </items>
    </pivotField>
    <pivotField dataField="1" compact="0" outline="0" showAll="0">
      <items count="24">
        <item x="16"/>
        <item x="4"/>
        <item x="14"/>
        <item x="8"/>
        <item x="21"/>
        <item x="13"/>
        <item x="2"/>
        <item x="11"/>
        <item x="7"/>
        <item x="10"/>
        <item x="0"/>
        <item x="17"/>
        <item x="3"/>
        <item x="12"/>
        <item x="6"/>
        <item x="18"/>
        <item x="15"/>
        <item x="9"/>
        <item x="20"/>
        <item x="1"/>
        <item x="19"/>
        <item x="22"/>
        <item x="5"/>
        <item t="default"/>
      </items>
    </pivotField>
    <pivotField compact="0" outline="0" showAll="0"/>
    <pivotField dataField="1" compact="0" outline="0" showAll="0">
      <items count="4">
        <item x="2"/>
        <item x="0"/>
        <item x="1"/>
        <item t="default"/>
      </items>
    </pivotField>
    <pivotField compact="0" outline="0" showAll="0">
      <items count="8">
        <item x="4"/>
        <item x="1"/>
        <item x="2"/>
        <item x="6"/>
        <item x="0"/>
        <item x="5"/>
        <item x="3"/>
        <item t="default"/>
      </items>
    </pivotField>
    <pivotField compact="0" outline="0" showAll="0"/>
    <pivotField compact="0" outline="0" showAll="0"/>
    <pivotField compact="0" outline="0" showAll="0">
      <items count="5">
        <item x="3"/>
        <item x="0"/>
        <item x="1"/>
        <item x="2"/>
        <item t="default"/>
      </items>
    </pivotField>
    <pivotField compact="0" outline="0" showAll="0"/>
    <pivotField compact="0" outline="0" showAll="0"/>
  </pivotFields>
  <rowFields count="1">
    <field x="7"/>
  </rowFields>
  <rowItems count="5">
    <i>
      <x/>
    </i>
    <i>
      <x v="1"/>
    </i>
    <i>
      <x v="2"/>
    </i>
    <i>
      <x v="3"/>
    </i>
    <i t="grand">
      <x/>
    </i>
  </rowItems>
  <colFields count="1">
    <field x="-2"/>
  </colFields>
  <colItems count="2">
    <i>
      <x/>
    </i>
    <i i="1">
      <x v="1"/>
    </i>
  </colItems>
  <dataFields count="2">
    <dataField name="Sum of quantity" fld="10" baseField="0" baseItem="0"/>
    <dataField name="Sum of revenue" fld="8" baseField="0" baseItem="0"/>
  </dataField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0"/>
          </reference>
        </references>
      </pivotArea>
    </chartFormat>
    <chartFormat chart="2" format="4">
      <pivotArea type="data" outline="0" fieldPosition="0">
        <references count="2">
          <reference field="4294967294" count="1" selected="0">
            <x v="0"/>
          </reference>
          <reference field="7" count="1" selected="0">
            <x v="1"/>
          </reference>
        </references>
      </pivotArea>
    </chartFormat>
    <chartFormat chart="2" format="5">
      <pivotArea type="data" outline="0" fieldPosition="0">
        <references count="2">
          <reference field="4294967294" count="1" selected="0">
            <x v="0"/>
          </reference>
          <reference field="7" count="1" selected="0">
            <x v="2"/>
          </reference>
        </references>
      </pivotArea>
    </chartFormat>
    <chartFormat chart="2" format="6">
      <pivotArea type="data" outline="0" fieldPosition="0">
        <references count="2">
          <reference field="4294967294" count="1" selected="0">
            <x v="0"/>
          </reference>
          <reference field="7" count="1" selected="0">
            <x v="3"/>
          </reference>
        </references>
      </pivotArea>
    </chartFormat>
    <chartFormat chart="2" format="7" series="1">
      <pivotArea type="data" outline="0" fieldPosition="0">
        <references count="1">
          <reference field="4294967294" count="1" selected="0">
            <x v="1"/>
          </reference>
        </references>
      </pivotArea>
    </chartFormat>
    <chartFormat chart="2" format="8">
      <pivotArea type="data" outline="0" fieldPosition="0">
        <references count="2">
          <reference field="4294967294" count="1" selected="0">
            <x v="1"/>
          </reference>
          <reference field="7" count="1" selected="0">
            <x v="0"/>
          </reference>
        </references>
      </pivotArea>
    </chartFormat>
    <chartFormat chart="2" format="9">
      <pivotArea type="data" outline="0" fieldPosition="0">
        <references count="2">
          <reference field="4294967294" count="1" selected="0">
            <x v="1"/>
          </reference>
          <reference field="7" count="1" selected="0">
            <x v="1"/>
          </reference>
        </references>
      </pivotArea>
    </chartFormat>
    <chartFormat chart="2" format="10">
      <pivotArea type="data" outline="0" fieldPosition="0">
        <references count="2">
          <reference field="4294967294" count="1" selected="0">
            <x v="1"/>
          </reference>
          <reference field="7" count="1" selected="0">
            <x v="2"/>
          </reference>
        </references>
      </pivotArea>
    </chartFormat>
    <chartFormat chart="2" format="11">
      <pivotArea type="data" outline="0" fieldPosition="0">
        <references count="2">
          <reference field="4294967294" count="1" selected="0">
            <x v="1"/>
          </reference>
          <reference field="7" count="1" selected="0">
            <x v="3"/>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7" count="1" selected="0">
            <x v="0"/>
          </reference>
        </references>
      </pivotArea>
    </chartFormat>
    <chartFormat chart="3" format="14">
      <pivotArea type="data" outline="0" fieldPosition="0">
        <references count="2">
          <reference field="4294967294" count="1" selected="0">
            <x v="0"/>
          </reference>
          <reference field="7" count="1" selected="0">
            <x v="1"/>
          </reference>
        </references>
      </pivotArea>
    </chartFormat>
    <chartFormat chart="3" format="15">
      <pivotArea type="data" outline="0" fieldPosition="0">
        <references count="2">
          <reference field="4294967294" count="1" selected="0">
            <x v="0"/>
          </reference>
          <reference field="7" count="1" selected="0">
            <x v="2"/>
          </reference>
        </references>
      </pivotArea>
    </chartFormat>
    <chartFormat chart="3" format="16">
      <pivotArea type="data" outline="0" fieldPosition="0">
        <references count="2">
          <reference field="4294967294" count="1" selected="0">
            <x v="0"/>
          </reference>
          <reference field="7" count="1" selected="0">
            <x v="3"/>
          </reference>
        </references>
      </pivotArea>
    </chartFormat>
    <chartFormat chart="3" format="17" series="1">
      <pivotArea type="data" outline="0" fieldPosition="0">
        <references count="1">
          <reference field="4294967294" count="1" selected="0">
            <x v="1"/>
          </reference>
        </references>
      </pivotArea>
    </chartFormat>
    <chartFormat chart="3" format="18">
      <pivotArea type="data" outline="0" fieldPosition="0">
        <references count="2">
          <reference field="4294967294" count="1" selected="0">
            <x v="1"/>
          </reference>
          <reference field="7" count="1" selected="0">
            <x v="0"/>
          </reference>
        </references>
      </pivotArea>
    </chartFormat>
    <chartFormat chart="3" format="19">
      <pivotArea type="data" outline="0" fieldPosition="0">
        <references count="2">
          <reference field="4294967294" count="1" selected="0">
            <x v="1"/>
          </reference>
          <reference field="7" count="1" selected="0">
            <x v="1"/>
          </reference>
        </references>
      </pivotArea>
    </chartFormat>
    <chartFormat chart="3" format="20">
      <pivotArea type="data" outline="0" fieldPosition="0">
        <references count="2">
          <reference field="4294967294" count="1" selected="0">
            <x v="1"/>
          </reference>
          <reference field="7" count="1" selected="0">
            <x v="2"/>
          </reference>
        </references>
      </pivotArea>
    </chartFormat>
    <chartFormat chart="3" format="21">
      <pivotArea type="data" outline="0" fieldPosition="0">
        <references count="2">
          <reference field="4294967294" count="1" selected="0">
            <x v="1"/>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591059-9549-4B44-86F7-4B5AFDDB2C34}" name="PivotTable11" cacheId="2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6">
  <location ref="J3:K9" firstHeaderRow="2" firstDataRow="2" firstDataCol="1"/>
  <pivotFields count="17">
    <pivotField compact="0" numFmtId="14" outline="0" showAll="0"/>
    <pivotField compact="0" outline="0" showAll="0">
      <items count="8">
        <item x="0"/>
        <item x="1"/>
        <item x="2"/>
        <item x="3"/>
        <item x="4"/>
        <item x="5"/>
        <item x="6"/>
        <item t="default"/>
      </items>
    </pivotField>
    <pivotField compact="0" outline="0" showAll="0"/>
    <pivotField compact="0" outline="0" showAll="0">
      <items count="5">
        <item x="0"/>
        <item x="1"/>
        <item x="2"/>
        <item x="3"/>
        <item t="default"/>
      </items>
    </pivotField>
    <pivotField compact="0" outline="0" showAll="0"/>
    <pivotField compact="0" outline="0" showAll="0"/>
    <pivotField compact="0" outline="0" showAll="0"/>
    <pivotField compact="0" outline="0" showAll="0"/>
    <pivotField dataField="1" compact="0" outline="0" showAll="0">
      <items count="24">
        <item x="16"/>
        <item x="4"/>
        <item x="14"/>
        <item x="8"/>
        <item x="21"/>
        <item x="13"/>
        <item x="2"/>
        <item x="11"/>
        <item x="7"/>
        <item x="10"/>
        <item x="0"/>
        <item x="17"/>
        <item x="3"/>
        <item x="12"/>
        <item x="6"/>
        <item x="18"/>
        <item x="15"/>
        <item x="9"/>
        <item x="20"/>
        <item x="1"/>
        <item x="19"/>
        <item x="22"/>
        <item x="5"/>
        <item t="default"/>
      </items>
    </pivotField>
    <pivotField compact="0" outline="0" showAll="0"/>
    <pivotField compact="0" outline="0" showAll="0"/>
    <pivotField compact="0" outline="0" showAll="0">
      <items count="8">
        <item x="4"/>
        <item x="1"/>
        <item x="2"/>
        <item x="6"/>
        <item x="0"/>
        <item x="5"/>
        <item x="3"/>
        <item t="default"/>
      </items>
    </pivotField>
    <pivotField compact="0" outline="0" showAll="0"/>
    <pivotField compact="0" outline="0" showAll="0"/>
    <pivotField axis="axisRow" compact="0" outline="0" showAll="0">
      <items count="5">
        <item x="3"/>
        <item x="0"/>
        <item x="1"/>
        <item x="2"/>
        <item t="default"/>
      </items>
    </pivotField>
    <pivotField compact="0" outline="0" showAll="0"/>
    <pivotField compact="0" outline="0" showAll="0"/>
  </pivotFields>
  <rowFields count="1">
    <field x="14"/>
  </rowFields>
  <rowItems count="5">
    <i>
      <x/>
    </i>
    <i>
      <x v="1"/>
    </i>
    <i>
      <x v="2"/>
    </i>
    <i>
      <x v="3"/>
    </i>
    <i t="grand">
      <x/>
    </i>
  </rowItems>
  <colItems count="1">
    <i/>
  </colItems>
  <dataFields count="1">
    <dataField name="Sum of revenue" fld="8" baseField="0" baseItem="0" numFmtId="170"/>
  </dataField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796818-DFBD-4349-98B8-A8BA8448BA9E}" name="PivotTable10" cacheId="2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6">
  <location ref="G3:H12" firstHeaderRow="2" firstDataRow="2" firstDataCol="1"/>
  <pivotFields count="17">
    <pivotField compact="0" numFmtId="14" outline="0" showAll="0"/>
    <pivotField compact="0" outline="0" showAll="0">
      <items count="8">
        <item x="0"/>
        <item x="1"/>
        <item x="2"/>
        <item x="3"/>
        <item x="4"/>
        <item x="5"/>
        <item x="6"/>
        <item t="default"/>
      </items>
    </pivotField>
    <pivotField compact="0" outline="0" showAll="0"/>
    <pivotField compact="0" outline="0" showAll="0">
      <items count="5">
        <item x="0"/>
        <item x="1"/>
        <item x="2"/>
        <item x="3"/>
        <item t="default"/>
      </items>
    </pivotField>
    <pivotField compact="0" outline="0" showAll="0"/>
    <pivotField compact="0" outline="0" showAll="0"/>
    <pivotField compact="0" outline="0" showAll="0"/>
    <pivotField compact="0" outline="0" showAll="0"/>
    <pivotField dataField="1" compact="0" outline="0" showAll="0">
      <items count="24">
        <item x="16"/>
        <item x="4"/>
        <item x="14"/>
        <item x="8"/>
        <item x="21"/>
        <item x="13"/>
        <item x="2"/>
        <item x="11"/>
        <item x="7"/>
        <item x="10"/>
        <item x="0"/>
        <item x="17"/>
        <item x="3"/>
        <item x="12"/>
        <item x="6"/>
        <item x="18"/>
        <item x="15"/>
        <item x="9"/>
        <item x="20"/>
        <item x="1"/>
        <item x="19"/>
        <item x="22"/>
        <item x="5"/>
        <item t="default"/>
      </items>
    </pivotField>
    <pivotField compact="0" outline="0" showAll="0"/>
    <pivotField compact="0" outline="0" showAll="0"/>
    <pivotField axis="axisRow" compact="0" outline="0" showAll="0">
      <items count="8">
        <item x="4"/>
        <item x="1"/>
        <item x="2"/>
        <item x="6"/>
        <item x="0"/>
        <item x="5"/>
        <item x="3"/>
        <item t="default"/>
      </items>
    </pivotField>
    <pivotField compact="0" outline="0" showAll="0"/>
    <pivotField compact="0" outline="0" showAll="0"/>
    <pivotField compact="0" outline="0" showAll="0"/>
    <pivotField compact="0" outline="0" showAll="0"/>
    <pivotField compact="0" outline="0" showAll="0"/>
  </pivotFields>
  <rowFields count="1">
    <field x="11"/>
  </rowFields>
  <rowItems count="8">
    <i>
      <x/>
    </i>
    <i>
      <x v="1"/>
    </i>
    <i>
      <x v="2"/>
    </i>
    <i>
      <x v="3"/>
    </i>
    <i>
      <x v="4"/>
    </i>
    <i>
      <x v="5"/>
    </i>
    <i>
      <x v="6"/>
    </i>
    <i t="grand">
      <x/>
    </i>
  </rowItems>
  <colItems count="1">
    <i/>
  </colItems>
  <dataFields count="1">
    <dataField name="Sum of revenue" fld="8" baseField="0" baseItem="0" numFmtId="16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2904F0-E342-4325-B321-136A939F2E85}" name="PivotTable9" cacheId="2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2">
  <location ref="D3:E9" firstHeaderRow="2" firstDataRow="2" firstDataCol="1"/>
  <pivotFields count="17">
    <pivotField compact="0" numFmtId="14" outline="0" showAll="0"/>
    <pivotField compact="0" outline="0" showAll="0">
      <items count="8">
        <item x="0"/>
        <item x="1"/>
        <item x="2"/>
        <item x="3"/>
        <item x="4"/>
        <item x="5"/>
        <item x="6"/>
        <item t="default"/>
      </items>
    </pivotField>
    <pivotField compact="0" outline="0" showAll="0"/>
    <pivotField axis="axisRow" compact="0" outline="0" showAll="0">
      <items count="5">
        <item x="0"/>
        <item x="1"/>
        <item x="2"/>
        <item x="3"/>
        <item t="default"/>
      </items>
    </pivotField>
    <pivotField compact="0" outline="0" showAll="0"/>
    <pivotField compact="0" outline="0" showAll="0"/>
    <pivotField compact="0" outline="0" showAll="0"/>
    <pivotField compact="0" outline="0" showAll="0"/>
    <pivotField dataField="1" compact="0" outline="0" showAll="0">
      <items count="24">
        <item x="16"/>
        <item x="4"/>
        <item x="14"/>
        <item x="8"/>
        <item x="21"/>
        <item x="13"/>
        <item x="2"/>
        <item x="11"/>
        <item x="7"/>
        <item x="10"/>
        <item x="0"/>
        <item x="17"/>
        <item x="3"/>
        <item x="12"/>
        <item x="6"/>
        <item x="18"/>
        <item x="15"/>
        <item x="9"/>
        <item x="20"/>
        <item x="1"/>
        <item x="19"/>
        <item x="22"/>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5">
    <i>
      <x/>
    </i>
    <i>
      <x v="1"/>
    </i>
    <i>
      <x v="2"/>
    </i>
    <i>
      <x v="3"/>
    </i>
    <i t="grand">
      <x/>
    </i>
  </rowItems>
  <colItems count="1">
    <i/>
  </colItems>
  <dataFields count="1">
    <dataField name="Sum of revenue" fld="8" baseField="0" baseItem="0" numFmtId="169"/>
  </dataFields>
  <formats count="2">
    <format dxfId="0">
      <pivotArea outline="0" fieldPosition="0">
        <references count="1">
          <reference field="3" count="1" selected="0">
            <x v="1"/>
          </reference>
        </references>
      </pivotArea>
    </format>
    <format dxfId="1">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543DF7-1E8A-43DB-9B27-7975263DEB9A}" name="PivotTable8" cacheId="2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9">
  <location ref="A3:B12" firstHeaderRow="2" firstDataRow="2" firstDataCol="1"/>
  <pivotFields count="17">
    <pivotField compact="0" numFmtId="14" outline="0" showAll="0"/>
    <pivotField axis="axisRow" compact="0" outline="0"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8">
    <i>
      <x/>
    </i>
    <i>
      <x v="1"/>
    </i>
    <i>
      <x v="2"/>
    </i>
    <i>
      <x v="3"/>
    </i>
    <i>
      <x v="4"/>
    </i>
    <i>
      <x v="5"/>
    </i>
    <i>
      <x v="6"/>
    </i>
    <i t="grand">
      <x/>
    </i>
  </rowItems>
  <colItems count="1">
    <i/>
  </colItems>
  <dataFields count="1">
    <dataField name="Sum of revenue" fld="8" baseField="0" baseItem="0" numFmtId="169"/>
  </dataFields>
  <formats count="2">
    <format dxfId="2">
      <pivotArea outline="0" fieldPosition="0">
        <references count="1">
          <reference field="1" count="1" selected="0">
            <x v="0"/>
          </reference>
        </references>
      </pivotArea>
    </format>
    <format dxfId="3">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5A6B6E-1D5B-4410-AA9D-21BFFF757449}" name="PivotTable16" cacheId="2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G16" firstHeaderRow="1" firstDataRow="1" firstDataCol="1"/>
  <pivotFields count="17">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35FCB9E-C8B6-4C06-94FD-B87BED17F786}" autoFormatId="16" applyNumberFormats="0" applyBorderFormats="0" applyFontFormats="0" applyPatternFormats="0" applyAlignmentFormats="0" applyWidthHeightFormats="0">
  <queryTableRefresh nextId="18">
    <queryTableFields count="17">
      <queryTableField id="1" name="inv_date" tableColumnId="1"/>
      <queryTableField id="2" name="month" tableColumnId="2"/>
      <queryTableField id="3" name="year" tableColumnId="3"/>
      <queryTableField id="4" name="sales_zone" tableColumnId="4"/>
      <queryTableField id="5" name="country" tableColumnId="5"/>
      <queryTableField id="6" name="state" tableColumnId="6"/>
      <queryTableField id="7" name="city" tableColumnId="7"/>
      <queryTableField id="8" name="payment_mode" tableColumnId="8"/>
      <queryTableField id="9" name="revenue" tableColumnId="9"/>
      <queryTableField id="10" name="unit_price" tableColumnId="10"/>
      <queryTableField id="11" name="quantity" tableColumnId="11"/>
      <queryTableField id="12" name="product_name" tableColumnId="12"/>
      <queryTableField id="13" name="category" tableColumnId="13"/>
      <queryTableField id="14" name="sub_category" tableColumnId="14"/>
      <queryTableField id="15" name="salesman" tableColumnId="15"/>
      <queryTableField id="16" name="discount" tableColumnId="16"/>
      <queryTableField id="17" name="profit"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48E1CB7-A2C2-4933-8541-6B2C24912EB5}" sourceName="month">
  <pivotTables>
    <pivotTable tabId="3" name="PivotTable9"/>
  </pivotTables>
  <data>
    <tabular pivotCacheId="1047819118">
      <items count="7">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35396A9-5F70-4A52-A144-C4F7693ABDCD}"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99556F60-731A-4294-A21D-E90F4CE6B16A}" cache="Slicer_month" caption="month"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E0D684-4630-4C91-97FA-3C1A2798A8B6}" name="Sales_Data_2025" displayName="Sales_Data_2025" ref="A1:Q26" tableType="queryTable" totalsRowShown="0">
  <autoFilter ref="A1:Q26" xr:uid="{03E0D684-4630-4C91-97FA-3C1A2798A8B6}"/>
  <tableColumns count="17">
    <tableColumn id="1" xr3:uid="{C730473E-1614-457A-A12D-5139F26BFCD8}" uniqueName="1" name="inv_date" queryTableFieldId="1" dataDxfId="14"/>
    <tableColumn id="2" xr3:uid="{DE19A2F7-D6A2-4665-B2B4-A6624785D214}" uniqueName="2" name="month" queryTableFieldId="2" dataDxfId="13"/>
    <tableColumn id="3" xr3:uid="{E48D1B24-B9ED-4C8A-A726-4A165DB6F8F7}" uniqueName="3" name="year" queryTableFieldId="3"/>
    <tableColumn id="4" xr3:uid="{86E042FB-25B8-42C7-8889-B695B7F5D7B1}" uniqueName="4" name="sales_zone" queryTableFieldId="4" dataDxfId="12"/>
    <tableColumn id="5" xr3:uid="{A41A5289-3930-4E82-8BE1-8606C5530303}" uniqueName="5" name="country" queryTableFieldId="5" dataDxfId="11"/>
    <tableColumn id="6" xr3:uid="{8B5AFB1F-AB0C-4244-A678-F6B285AA677E}" uniqueName="6" name="state" queryTableFieldId="6" dataDxfId="10"/>
    <tableColumn id="7" xr3:uid="{9AEA00F4-2558-4F19-BC13-C975FDABCFA9}" uniqueName="7" name="city" queryTableFieldId="7" dataDxfId="9"/>
    <tableColumn id="8" xr3:uid="{596D5AE8-E52E-42B3-A4E2-C8E2B9DEA526}" uniqueName="8" name="payment_mode" queryTableFieldId="8" dataDxfId="8"/>
    <tableColumn id="9" xr3:uid="{9F23F872-AC70-4B55-93A7-AAB2B7B52D98}" uniqueName="9" name="revenue" queryTableFieldId="9"/>
    <tableColumn id="10" xr3:uid="{DECEF986-8D17-4201-B422-7A6C74FA0B43}" uniqueName="10" name="unit_price" queryTableFieldId="10"/>
    <tableColumn id="11" xr3:uid="{1F3F3A8D-BEEA-4524-B99A-A65EC47CC068}" uniqueName="11" name="quantity" queryTableFieldId="11"/>
    <tableColumn id="12" xr3:uid="{CA29436F-6E8B-45BB-9B8A-BB75BE08C0BB}" uniqueName="12" name="product_name" queryTableFieldId="12" dataDxfId="7"/>
    <tableColumn id="13" xr3:uid="{6A521FE9-67BD-41C8-98AB-E461E8C885A6}" uniqueName="13" name="category" queryTableFieldId="13" dataDxfId="6"/>
    <tableColumn id="14" xr3:uid="{8086E0FB-FD6E-4262-BFD7-B31824AFF0A9}" uniqueName="14" name="sub_category" queryTableFieldId="14" dataDxfId="5"/>
    <tableColumn id="15" xr3:uid="{A6556D6B-6B17-4171-A3F9-9360FA11C0B1}" uniqueName="15" name="salesman" queryTableFieldId="15" dataDxfId="4"/>
    <tableColumn id="16" xr3:uid="{A9BA4599-E484-457D-BD8C-AE477A97AA28}" uniqueName="16" name="discount" queryTableFieldId="16"/>
    <tableColumn id="17" xr3:uid="{E11F50BA-9860-4E5C-BE06-C3B3EFE495E0}" uniqueName="17" name="profit"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B06ED-39CA-4C73-8A7F-77A8C7C0426D}">
  <dimension ref="A2:AE75"/>
  <sheetViews>
    <sheetView topLeftCell="M38" zoomScale="77" workbookViewId="0">
      <selection activeCell="M13" sqref="M13"/>
    </sheetView>
  </sheetViews>
  <sheetFormatPr defaultRowHeight="14.5" x14ac:dyDescent="0.35"/>
  <cols>
    <col min="1" max="1" width="14.453125" bestFit="1" customWidth="1"/>
    <col min="2" max="2" width="8.90625" bestFit="1" customWidth="1"/>
    <col min="3" max="3" width="5.1796875" bestFit="1" customWidth="1"/>
    <col min="4" max="4" width="17" bestFit="1" customWidth="1"/>
    <col min="5" max="5" width="15.90625" bestFit="1" customWidth="1"/>
    <col min="7" max="7" width="15.6328125" bestFit="1" customWidth="1"/>
    <col min="8" max="8" width="8.90625" bestFit="1" customWidth="1"/>
    <col min="10" max="10" width="14.453125" bestFit="1" customWidth="1"/>
    <col min="11" max="11" width="9.36328125" bestFit="1" customWidth="1"/>
    <col min="13" max="13" width="16.453125" bestFit="1" customWidth="1"/>
    <col min="14" max="14" width="14.26953125" bestFit="1" customWidth="1"/>
    <col min="15" max="15" width="14" bestFit="1" customWidth="1"/>
    <col min="16" max="16" width="10.1796875" bestFit="1" customWidth="1"/>
    <col min="17" max="17" width="14" bestFit="1" customWidth="1"/>
    <col min="18" max="23" width="14.26953125" bestFit="1" customWidth="1"/>
    <col min="24" max="24" width="10.7265625" bestFit="1" customWidth="1"/>
    <col min="26" max="26" width="14.26953125" bestFit="1" customWidth="1"/>
    <col min="27" max="27" width="5.08984375" bestFit="1" customWidth="1"/>
    <col min="29" max="29" width="10.7265625" bestFit="1" customWidth="1"/>
    <col min="30" max="30" width="15.453125" bestFit="1" customWidth="1"/>
    <col min="31" max="31" width="14.36328125" bestFit="1" customWidth="1"/>
  </cols>
  <sheetData>
    <row r="2" spans="1:31" x14ac:dyDescent="0.35">
      <c r="A2" s="4" t="s">
        <v>99</v>
      </c>
      <c r="B2" s="4"/>
      <c r="D2" s="5" t="s">
        <v>100</v>
      </c>
      <c r="E2" s="5"/>
      <c r="G2" s="5" t="s">
        <v>101</v>
      </c>
      <c r="H2" s="5"/>
      <c r="J2" s="5" t="s">
        <v>102</v>
      </c>
      <c r="K2" s="5"/>
      <c r="M2" s="5" t="s">
        <v>103</v>
      </c>
      <c r="N2" s="5"/>
      <c r="O2" s="5"/>
      <c r="Q2" s="5" t="s">
        <v>104</v>
      </c>
      <c r="R2" s="5"/>
      <c r="S2" s="5"/>
      <c r="T2" s="5"/>
      <c r="U2" s="5"/>
      <c r="V2" s="5"/>
      <c r="W2" s="5"/>
      <c r="X2" s="5"/>
      <c r="Z2" s="5" t="s">
        <v>105</v>
      </c>
      <c r="AA2" s="5"/>
      <c r="AC2" s="5" t="s">
        <v>106</v>
      </c>
      <c r="AD2" s="5"/>
    </row>
    <row r="3" spans="1:31" x14ac:dyDescent="0.35">
      <c r="A3" s="3" t="s">
        <v>97</v>
      </c>
      <c r="D3" s="3" t="s">
        <v>97</v>
      </c>
      <c r="G3" s="3" t="s">
        <v>97</v>
      </c>
      <c r="J3" s="3" t="s">
        <v>97</v>
      </c>
      <c r="N3" s="3" t="s">
        <v>96</v>
      </c>
      <c r="Q3" s="3" t="s">
        <v>97</v>
      </c>
      <c r="R3" s="3" t="s">
        <v>13</v>
      </c>
      <c r="Z3" s="3" t="s">
        <v>98</v>
      </c>
      <c r="AD3" s="3" t="s">
        <v>96</v>
      </c>
    </row>
    <row r="4" spans="1:31" x14ac:dyDescent="0.35">
      <c r="A4" s="3" t="s">
        <v>1</v>
      </c>
      <c r="B4" t="s">
        <v>95</v>
      </c>
      <c r="D4" s="3" t="s">
        <v>3</v>
      </c>
      <c r="E4" t="s">
        <v>95</v>
      </c>
      <c r="G4" s="3" t="s">
        <v>11</v>
      </c>
      <c r="H4" t="s">
        <v>95</v>
      </c>
      <c r="J4" s="3" t="s">
        <v>14</v>
      </c>
      <c r="K4" t="s">
        <v>95</v>
      </c>
      <c r="M4" s="3" t="s">
        <v>7</v>
      </c>
      <c r="N4" t="s">
        <v>98</v>
      </c>
      <c r="O4" t="s">
        <v>97</v>
      </c>
      <c r="Q4" s="3" t="s">
        <v>12</v>
      </c>
      <c r="R4" t="s">
        <v>25</v>
      </c>
      <c r="S4" t="s">
        <v>32</v>
      </c>
      <c r="T4" t="s">
        <v>39</v>
      </c>
      <c r="U4" t="s">
        <v>46</v>
      </c>
      <c r="V4" t="s">
        <v>53</v>
      </c>
      <c r="W4" t="s">
        <v>63</v>
      </c>
      <c r="X4" t="s">
        <v>94</v>
      </c>
      <c r="Z4" s="3" t="s">
        <v>6</v>
      </c>
      <c r="AA4" t="s">
        <v>95</v>
      </c>
      <c r="AC4" s="3" t="s">
        <v>2</v>
      </c>
      <c r="AD4" t="s">
        <v>97</v>
      </c>
      <c r="AE4" t="s">
        <v>107</v>
      </c>
    </row>
    <row r="5" spans="1:31" x14ac:dyDescent="0.35">
      <c r="A5" t="s">
        <v>17</v>
      </c>
      <c r="B5" s="6">
        <v>123000</v>
      </c>
      <c r="D5" t="s">
        <v>18</v>
      </c>
      <c r="E5" s="6">
        <v>80000</v>
      </c>
      <c r="G5" t="s">
        <v>51</v>
      </c>
      <c r="H5" s="6">
        <v>19000</v>
      </c>
      <c r="J5" t="s">
        <v>47</v>
      </c>
      <c r="K5" s="7">
        <v>135000</v>
      </c>
      <c r="M5" t="s">
        <v>50</v>
      </c>
      <c r="N5" s="2">
        <v>11</v>
      </c>
      <c r="O5" s="2">
        <v>65000</v>
      </c>
      <c r="Q5" t="s">
        <v>24</v>
      </c>
      <c r="R5" s="2">
        <v>41000</v>
      </c>
      <c r="S5" s="2">
        <v>167000</v>
      </c>
      <c r="T5" s="2">
        <v>50000</v>
      </c>
      <c r="U5" s="2">
        <v>226000</v>
      </c>
      <c r="V5" s="2"/>
      <c r="W5" s="2"/>
      <c r="X5" s="2">
        <v>484000</v>
      </c>
      <c r="Z5" t="s">
        <v>70</v>
      </c>
      <c r="AA5" s="2">
        <v>2</v>
      </c>
      <c r="AC5">
        <v>2025</v>
      </c>
      <c r="AD5" s="6">
        <v>391000</v>
      </c>
      <c r="AE5" s="8">
        <v>1.7342657342657342</v>
      </c>
    </row>
    <row r="6" spans="1:31" x14ac:dyDescent="0.35">
      <c r="A6" t="s">
        <v>41</v>
      </c>
      <c r="B6" s="6">
        <v>117000</v>
      </c>
      <c r="D6" t="s">
        <v>27</v>
      </c>
      <c r="E6" s="6">
        <v>119000</v>
      </c>
      <c r="G6" t="s">
        <v>31</v>
      </c>
      <c r="H6" s="6">
        <v>167000</v>
      </c>
      <c r="J6" t="s">
        <v>26</v>
      </c>
      <c r="K6" s="7">
        <v>80000</v>
      </c>
      <c r="M6" t="s">
        <v>30</v>
      </c>
      <c r="N6" s="2">
        <v>16</v>
      </c>
      <c r="O6" s="2">
        <v>151000</v>
      </c>
      <c r="Q6" t="s">
        <v>52</v>
      </c>
      <c r="R6" s="2"/>
      <c r="S6" s="2"/>
      <c r="T6" s="2"/>
      <c r="U6" s="2"/>
      <c r="V6" s="2">
        <v>19000</v>
      </c>
      <c r="W6" s="2">
        <v>31000</v>
      </c>
      <c r="X6" s="2">
        <v>50000</v>
      </c>
      <c r="Z6" t="s">
        <v>89</v>
      </c>
      <c r="AA6" s="2">
        <v>2</v>
      </c>
      <c r="AC6">
        <v>2026</v>
      </c>
      <c r="AD6" s="6">
        <v>143000</v>
      </c>
      <c r="AE6" s="8"/>
    </row>
    <row r="7" spans="1:31" x14ac:dyDescent="0.35">
      <c r="A7" t="s">
        <v>57</v>
      </c>
      <c r="B7" s="6">
        <v>93000</v>
      </c>
      <c r="D7" t="s">
        <v>34</v>
      </c>
      <c r="E7" s="6">
        <v>200000</v>
      </c>
      <c r="G7" t="s">
        <v>38</v>
      </c>
      <c r="H7" s="6">
        <v>50000</v>
      </c>
      <c r="J7" t="s">
        <v>33</v>
      </c>
      <c r="K7" s="7">
        <v>119000</v>
      </c>
      <c r="M7" t="s">
        <v>37</v>
      </c>
      <c r="N7" s="2">
        <v>13</v>
      </c>
      <c r="O7" s="2">
        <v>83000</v>
      </c>
      <c r="Q7" t="s">
        <v>94</v>
      </c>
      <c r="R7" s="2">
        <v>41000</v>
      </c>
      <c r="S7" s="2">
        <v>167000</v>
      </c>
      <c r="T7" s="2">
        <v>50000</v>
      </c>
      <c r="U7" s="2">
        <v>226000</v>
      </c>
      <c r="V7" s="2">
        <v>19000</v>
      </c>
      <c r="W7" s="2">
        <v>31000</v>
      </c>
      <c r="X7" s="2">
        <v>534000</v>
      </c>
      <c r="Z7" t="s">
        <v>93</v>
      </c>
      <c r="AA7" s="2">
        <v>3</v>
      </c>
      <c r="AC7" t="s">
        <v>94</v>
      </c>
      <c r="AD7" s="6">
        <v>534000</v>
      </c>
      <c r="AE7" s="8"/>
    </row>
    <row r="8" spans="1:31" x14ac:dyDescent="0.35">
      <c r="A8" t="s">
        <v>66</v>
      </c>
      <c r="B8" s="6">
        <v>60000</v>
      </c>
      <c r="D8" t="s">
        <v>42</v>
      </c>
      <c r="E8" s="6">
        <v>135000</v>
      </c>
      <c r="G8" t="s">
        <v>62</v>
      </c>
      <c r="H8" s="6">
        <v>31000</v>
      </c>
      <c r="J8" t="s">
        <v>40</v>
      </c>
      <c r="K8" s="7">
        <v>200000</v>
      </c>
      <c r="M8" t="s">
        <v>22</v>
      </c>
      <c r="N8" s="2">
        <v>23</v>
      </c>
      <c r="O8" s="2">
        <v>235000</v>
      </c>
      <c r="Z8" t="s">
        <v>49</v>
      </c>
      <c r="AA8" s="2">
        <v>3</v>
      </c>
    </row>
    <row r="9" spans="1:31" x14ac:dyDescent="0.35">
      <c r="A9" t="s">
        <v>73</v>
      </c>
      <c r="B9" s="6">
        <v>45000</v>
      </c>
      <c r="D9" t="s">
        <v>94</v>
      </c>
      <c r="E9" s="6">
        <v>534000</v>
      </c>
      <c r="G9" t="s">
        <v>23</v>
      </c>
      <c r="H9" s="6">
        <v>41000</v>
      </c>
      <c r="J9" t="s">
        <v>94</v>
      </c>
      <c r="K9" s="7">
        <v>534000</v>
      </c>
      <c r="M9" t="s">
        <v>94</v>
      </c>
      <c r="N9" s="2">
        <v>63</v>
      </c>
      <c r="O9" s="2">
        <v>534000</v>
      </c>
      <c r="Z9" t="s">
        <v>83</v>
      </c>
      <c r="AA9" s="2">
        <v>2</v>
      </c>
    </row>
    <row r="10" spans="1:31" x14ac:dyDescent="0.35">
      <c r="A10" t="s">
        <v>80</v>
      </c>
      <c r="B10" s="6">
        <v>55000</v>
      </c>
      <c r="G10" t="s">
        <v>56</v>
      </c>
      <c r="H10" s="6">
        <v>123000</v>
      </c>
      <c r="Z10" t="s">
        <v>65</v>
      </c>
      <c r="AA10" s="2">
        <v>2</v>
      </c>
    </row>
    <row r="11" spans="1:31" x14ac:dyDescent="0.35">
      <c r="A11" t="s">
        <v>85</v>
      </c>
      <c r="B11" s="6">
        <v>41000</v>
      </c>
      <c r="G11" t="s">
        <v>45</v>
      </c>
      <c r="H11" s="6">
        <v>103000</v>
      </c>
      <c r="Z11" t="s">
        <v>29</v>
      </c>
      <c r="AA11" s="2">
        <v>4</v>
      </c>
      <c r="AD11" s="3" t="s">
        <v>96</v>
      </c>
    </row>
    <row r="12" spans="1:31" x14ac:dyDescent="0.35">
      <c r="A12" t="s">
        <v>94</v>
      </c>
      <c r="B12" s="6">
        <v>534000</v>
      </c>
      <c r="G12" t="s">
        <v>94</v>
      </c>
      <c r="H12" s="6">
        <v>534000</v>
      </c>
      <c r="Z12" t="s">
        <v>21</v>
      </c>
      <c r="AA12" s="2">
        <v>5</v>
      </c>
      <c r="AC12" s="3" t="s">
        <v>2</v>
      </c>
      <c r="AD12" t="s">
        <v>107</v>
      </c>
      <c r="AE12" t="s">
        <v>97</v>
      </c>
    </row>
    <row r="13" spans="1:31" x14ac:dyDescent="0.35">
      <c r="Z13" t="s">
        <v>87</v>
      </c>
      <c r="AA13" s="2">
        <v>2</v>
      </c>
      <c r="AC13">
        <v>2025</v>
      </c>
      <c r="AD13" s="2">
        <v>391000</v>
      </c>
      <c r="AE13" s="9">
        <v>1.7342657342657342</v>
      </c>
    </row>
    <row r="14" spans="1:31" x14ac:dyDescent="0.35">
      <c r="Z14" t="s">
        <v>75</v>
      </c>
      <c r="AA14" s="2">
        <v>2</v>
      </c>
      <c r="AC14">
        <v>2026</v>
      </c>
      <c r="AD14" s="2">
        <v>143000</v>
      </c>
      <c r="AE14" s="9"/>
    </row>
    <row r="15" spans="1:31" x14ac:dyDescent="0.35">
      <c r="Z15" t="s">
        <v>84</v>
      </c>
      <c r="AA15" s="2">
        <v>2</v>
      </c>
      <c r="AC15" t="s">
        <v>94</v>
      </c>
      <c r="AD15" s="2">
        <v>534000</v>
      </c>
      <c r="AE15" s="9"/>
    </row>
    <row r="16" spans="1:31" x14ac:dyDescent="0.35">
      <c r="Z16" t="s">
        <v>55</v>
      </c>
      <c r="AA16" s="2">
        <v>3</v>
      </c>
    </row>
    <row r="17" spans="26:27" x14ac:dyDescent="0.35">
      <c r="Z17" t="s">
        <v>88</v>
      </c>
      <c r="AA17" s="2">
        <v>2</v>
      </c>
    </row>
    <row r="18" spans="26:27" x14ac:dyDescent="0.35">
      <c r="Z18" t="s">
        <v>68</v>
      </c>
      <c r="AA18" s="2">
        <v>2</v>
      </c>
    </row>
    <row r="19" spans="26:27" x14ac:dyDescent="0.35">
      <c r="Z19" t="s">
        <v>79</v>
      </c>
      <c r="AA19" s="2">
        <v>2</v>
      </c>
    </row>
    <row r="20" spans="26:27" x14ac:dyDescent="0.35">
      <c r="Z20" t="s">
        <v>36</v>
      </c>
      <c r="AA20" s="2">
        <v>2</v>
      </c>
    </row>
    <row r="21" spans="26:27" x14ac:dyDescent="0.35">
      <c r="Z21" t="s">
        <v>92</v>
      </c>
      <c r="AA21" s="2">
        <v>2</v>
      </c>
    </row>
    <row r="22" spans="26:27" x14ac:dyDescent="0.35">
      <c r="Z22" t="s">
        <v>72</v>
      </c>
      <c r="AA22" s="2">
        <v>3</v>
      </c>
    </row>
    <row r="23" spans="26:27" x14ac:dyDescent="0.35">
      <c r="Z23" t="s">
        <v>91</v>
      </c>
      <c r="AA23" s="2">
        <v>3</v>
      </c>
    </row>
    <row r="24" spans="26:27" x14ac:dyDescent="0.35">
      <c r="Z24" t="s">
        <v>59</v>
      </c>
      <c r="AA24" s="2">
        <v>3</v>
      </c>
    </row>
    <row r="25" spans="26:27" x14ac:dyDescent="0.35">
      <c r="Z25" t="s">
        <v>81</v>
      </c>
      <c r="AA25" s="2">
        <v>3</v>
      </c>
    </row>
    <row r="26" spans="26:27" x14ac:dyDescent="0.35">
      <c r="Z26" t="s">
        <v>44</v>
      </c>
      <c r="AA26" s="2">
        <v>3</v>
      </c>
    </row>
    <row r="27" spans="26:27" x14ac:dyDescent="0.35">
      <c r="Z27" t="s">
        <v>61</v>
      </c>
      <c r="AA27" s="2">
        <v>4</v>
      </c>
    </row>
    <row r="28" spans="26:27" x14ac:dyDescent="0.35">
      <c r="Z28" t="s">
        <v>77</v>
      </c>
      <c r="AA28" s="2">
        <v>2</v>
      </c>
    </row>
    <row r="29" spans="26:27" x14ac:dyDescent="0.35">
      <c r="Z29" t="s">
        <v>94</v>
      </c>
      <c r="AA29" s="2">
        <v>63</v>
      </c>
    </row>
    <row r="48" spans="3:7" x14ac:dyDescent="0.35">
      <c r="C48" t="str">
        <f>A3</f>
        <v>Sum of revenue</v>
      </c>
      <c r="D48">
        <f>B3</f>
        <v>0</v>
      </c>
      <c r="F48" t="str">
        <f>Z3</f>
        <v>Sum of quantity</v>
      </c>
      <c r="G48">
        <f>AA3</f>
        <v>0</v>
      </c>
    </row>
    <row r="49" spans="3:12" x14ac:dyDescent="0.35">
      <c r="C49" t="str">
        <f t="shared" ref="C49:D49" si="0">A4</f>
        <v>month</v>
      </c>
      <c r="D49" t="str">
        <f t="shared" si="0"/>
        <v>Total</v>
      </c>
      <c r="F49" t="str">
        <f t="shared" ref="F49:G69" si="1">Z4</f>
        <v>city</v>
      </c>
      <c r="G49" t="str">
        <f t="shared" si="1"/>
        <v>Total</v>
      </c>
    </row>
    <row r="50" spans="3:12" x14ac:dyDescent="0.35">
      <c r="C50" t="str">
        <f t="shared" ref="C50:D50" si="2">A5</f>
        <v>January</v>
      </c>
      <c r="D50">
        <f t="shared" si="2"/>
        <v>123000</v>
      </c>
      <c r="F50" t="str">
        <f t="shared" si="1"/>
        <v>Amritsar</v>
      </c>
      <c r="G50">
        <f t="shared" si="1"/>
        <v>2</v>
      </c>
    </row>
    <row r="51" spans="3:12" x14ac:dyDescent="0.35">
      <c r="C51" t="str">
        <f t="shared" ref="C51:D51" si="3">A6</f>
        <v>February</v>
      </c>
      <c r="D51">
        <f t="shared" si="3"/>
        <v>117000</v>
      </c>
      <c r="F51" t="str">
        <f t="shared" si="1"/>
        <v>Bangalore</v>
      </c>
      <c r="G51">
        <f t="shared" si="1"/>
        <v>2</v>
      </c>
    </row>
    <row r="52" spans="3:12" x14ac:dyDescent="0.35">
      <c r="C52" t="str">
        <f t="shared" ref="C52:D52" si="4">A7</f>
        <v>March</v>
      </c>
      <c r="D52">
        <f t="shared" si="4"/>
        <v>93000</v>
      </c>
      <c r="F52" t="str">
        <f t="shared" si="1"/>
        <v>Chennai</v>
      </c>
      <c r="G52">
        <f t="shared" si="1"/>
        <v>3</v>
      </c>
    </row>
    <row r="53" spans="3:12" x14ac:dyDescent="0.35">
      <c r="C53" t="str">
        <f t="shared" ref="C53:D53" si="5">A8</f>
        <v>April</v>
      </c>
      <c r="D53">
        <f t="shared" si="5"/>
        <v>60000</v>
      </c>
      <c r="F53" t="str">
        <f t="shared" si="1"/>
        <v>Cuttack</v>
      </c>
      <c r="G53">
        <f t="shared" si="1"/>
        <v>3</v>
      </c>
    </row>
    <row r="54" spans="3:12" x14ac:dyDescent="0.35">
      <c r="C54" t="str">
        <f t="shared" ref="C54:D54" si="6">A9</f>
        <v>May</v>
      </c>
      <c r="D54">
        <f t="shared" si="6"/>
        <v>45000</v>
      </c>
      <c r="F54" t="str">
        <f t="shared" si="1"/>
        <v>Dhanbad</v>
      </c>
      <c r="G54">
        <f t="shared" si="1"/>
        <v>2</v>
      </c>
    </row>
    <row r="55" spans="3:12" x14ac:dyDescent="0.35">
      <c r="C55" t="str">
        <f t="shared" ref="C55:D55" si="7">A10</f>
        <v>June</v>
      </c>
      <c r="D55">
        <f t="shared" si="7"/>
        <v>55000</v>
      </c>
      <c r="F55" t="str">
        <f t="shared" si="1"/>
        <v>Gaya</v>
      </c>
      <c r="G55">
        <f t="shared" si="1"/>
        <v>2</v>
      </c>
    </row>
    <row r="56" spans="3:12" x14ac:dyDescent="0.35">
      <c r="C56" t="str">
        <f t="shared" ref="C56:D56" si="8">A11</f>
        <v>July</v>
      </c>
      <c r="D56">
        <f t="shared" si="8"/>
        <v>41000</v>
      </c>
      <c r="F56" t="str">
        <f t="shared" si="1"/>
        <v>Gurgaon</v>
      </c>
      <c r="G56">
        <f t="shared" si="1"/>
        <v>4</v>
      </c>
    </row>
    <row r="57" spans="3:12" x14ac:dyDescent="0.35">
      <c r="C57" t="str">
        <f>A12</f>
        <v>Grand Total</v>
      </c>
      <c r="D57">
        <f>B12</f>
        <v>534000</v>
      </c>
      <c r="F57" t="str">
        <f>Z12</f>
        <v>Guwahati</v>
      </c>
      <c r="G57">
        <f>AA12</f>
        <v>5</v>
      </c>
    </row>
    <row r="58" spans="3:12" x14ac:dyDescent="0.35">
      <c r="C58">
        <f>A13</f>
        <v>0</v>
      </c>
      <c r="D58">
        <f>B13</f>
        <v>0</v>
      </c>
      <c r="F58" t="str">
        <f t="shared" si="1"/>
        <v>Haridwar</v>
      </c>
      <c r="G58">
        <f t="shared" si="1"/>
        <v>2</v>
      </c>
    </row>
    <row r="59" spans="3:12" x14ac:dyDescent="0.35">
      <c r="F59" t="str">
        <f>Z14</f>
        <v>Howrah</v>
      </c>
      <c r="G59">
        <f>AA14</f>
        <v>2</v>
      </c>
    </row>
    <row r="60" spans="3:12" x14ac:dyDescent="0.35">
      <c r="F60" t="str">
        <f t="shared" si="1"/>
        <v>Hubli</v>
      </c>
      <c r="G60">
        <f t="shared" si="1"/>
        <v>2</v>
      </c>
    </row>
    <row r="61" spans="3:12" x14ac:dyDescent="0.35">
      <c r="C61" s="5" t="s">
        <v>102</v>
      </c>
      <c r="D61" s="5"/>
      <c r="F61" t="str">
        <f>Z16</f>
        <v>Kochi</v>
      </c>
      <c r="G61">
        <f>AA16</f>
        <v>3</v>
      </c>
      <c r="J61" t="str">
        <f>G3</f>
        <v>Sum of revenue</v>
      </c>
      <c r="K61">
        <f t="shared" ref="K61:L61" si="9">H3</f>
        <v>0</v>
      </c>
      <c r="L61">
        <f t="shared" si="9"/>
        <v>0</v>
      </c>
    </row>
    <row r="62" spans="3:12" x14ac:dyDescent="0.35">
      <c r="D62" s="3" t="s">
        <v>96</v>
      </c>
      <c r="F62" t="str">
        <f t="shared" si="1"/>
        <v>Kota</v>
      </c>
      <c r="G62">
        <f t="shared" si="1"/>
        <v>2</v>
      </c>
      <c r="J62" t="str">
        <f t="shared" ref="J62:J69" si="10">G4</f>
        <v>product_name</v>
      </c>
      <c r="K62" t="str">
        <f t="shared" ref="K62:K70" si="11">H4</f>
        <v>Total</v>
      </c>
      <c r="L62">
        <f t="shared" ref="L62:L70" si="12">I4</f>
        <v>0</v>
      </c>
    </row>
    <row r="63" spans="3:12" x14ac:dyDescent="0.35">
      <c r="D63" t="s">
        <v>109</v>
      </c>
      <c r="E63" t="s">
        <v>108</v>
      </c>
      <c r="F63" t="str">
        <f t="shared" si="1"/>
        <v>Madurai</v>
      </c>
      <c r="G63">
        <f t="shared" si="1"/>
        <v>2</v>
      </c>
      <c r="J63" t="str">
        <f t="shared" si="10"/>
        <v>Desk</v>
      </c>
      <c r="K63">
        <f t="shared" si="11"/>
        <v>19000</v>
      </c>
      <c r="L63">
        <f t="shared" si="12"/>
        <v>0</v>
      </c>
    </row>
    <row r="64" spans="3:12" x14ac:dyDescent="0.35">
      <c r="C64" t="s">
        <v>95</v>
      </c>
      <c r="D64" s="2">
        <v>25</v>
      </c>
      <c r="E64" s="2">
        <v>25</v>
      </c>
      <c r="F64" t="str">
        <f t="shared" si="1"/>
        <v>Manali</v>
      </c>
      <c r="G64">
        <f t="shared" si="1"/>
        <v>2</v>
      </c>
      <c r="J64" t="str">
        <f t="shared" si="10"/>
        <v>Laptop</v>
      </c>
      <c r="K64">
        <f t="shared" si="11"/>
        <v>167000</v>
      </c>
      <c r="L64">
        <f t="shared" si="12"/>
        <v>0</v>
      </c>
    </row>
    <row r="65" spans="3:12" x14ac:dyDescent="0.35">
      <c r="F65" t="str">
        <f t="shared" si="1"/>
        <v>Mangalore</v>
      </c>
      <c r="G65">
        <f t="shared" si="1"/>
        <v>2</v>
      </c>
      <c r="J65" t="str">
        <f t="shared" si="10"/>
        <v>Monitor</v>
      </c>
      <c r="K65">
        <f t="shared" si="11"/>
        <v>50000</v>
      </c>
      <c r="L65">
        <f t="shared" si="12"/>
        <v>0</v>
      </c>
    </row>
    <row r="66" spans="3:12" x14ac:dyDescent="0.35">
      <c r="C66" t="str">
        <f>C61</f>
        <v>Sales by salesman</v>
      </c>
      <c r="D66">
        <f>D61</f>
        <v>0</v>
      </c>
      <c r="F66" t="str">
        <f t="shared" si="1"/>
        <v>Mumbai</v>
      </c>
      <c r="G66">
        <f t="shared" si="1"/>
        <v>2</v>
      </c>
      <c r="J66" t="str">
        <f t="shared" si="10"/>
        <v>Office Chair</v>
      </c>
      <c r="K66">
        <f t="shared" si="11"/>
        <v>31000</v>
      </c>
      <c r="L66">
        <f t="shared" si="12"/>
        <v>0</v>
      </c>
    </row>
    <row r="67" spans="3:12" x14ac:dyDescent="0.35">
      <c r="C67">
        <f t="shared" ref="C67:D67" si="13">C62</f>
        <v>0</v>
      </c>
      <c r="D67" t="str">
        <f t="shared" si="13"/>
        <v>Values</v>
      </c>
      <c r="F67" t="str">
        <f t="shared" si="1"/>
        <v>Nagpur</v>
      </c>
      <c r="G67">
        <f t="shared" si="1"/>
        <v>3</v>
      </c>
      <c r="J67" t="str">
        <f t="shared" si="10"/>
        <v>Printer</v>
      </c>
      <c r="K67">
        <f t="shared" si="11"/>
        <v>41000</v>
      </c>
      <c r="L67">
        <f t="shared" si="12"/>
        <v>0</v>
      </c>
    </row>
    <row r="68" spans="3:12" x14ac:dyDescent="0.35">
      <c r="C68">
        <f t="shared" ref="C68:D68" si="14">C63</f>
        <v>0</v>
      </c>
      <c r="D68" t="str">
        <f t="shared" si="14"/>
        <v>Count of inv_date2</v>
      </c>
      <c r="F68" t="str">
        <f t="shared" si="1"/>
        <v>New Delhi</v>
      </c>
      <c r="G68">
        <f t="shared" si="1"/>
        <v>3</v>
      </c>
      <c r="J68" t="str">
        <f t="shared" si="10"/>
        <v>Smartphone</v>
      </c>
      <c r="K68">
        <f t="shared" si="11"/>
        <v>123000</v>
      </c>
      <c r="L68">
        <f t="shared" si="12"/>
        <v>0</v>
      </c>
    </row>
    <row r="69" spans="3:12" x14ac:dyDescent="0.35">
      <c r="C69" t="str">
        <f t="shared" ref="C69:D69" si="15">C64</f>
        <v>Total</v>
      </c>
      <c r="D69">
        <f t="shared" si="15"/>
        <v>25</v>
      </c>
      <c r="F69" t="str">
        <f t="shared" si="1"/>
        <v>Noida</v>
      </c>
      <c r="G69">
        <f t="shared" si="1"/>
        <v>3</v>
      </c>
      <c r="J69" t="str">
        <f t="shared" si="10"/>
        <v>Tablet</v>
      </c>
      <c r="K69">
        <f t="shared" si="11"/>
        <v>103000</v>
      </c>
      <c r="L69">
        <f t="shared" si="12"/>
        <v>0</v>
      </c>
    </row>
    <row r="70" spans="3:12" x14ac:dyDescent="0.35">
      <c r="C70">
        <f t="shared" ref="C70:D70" si="16">C65</f>
        <v>0</v>
      </c>
      <c r="D70">
        <f t="shared" si="16"/>
        <v>0</v>
      </c>
      <c r="F70" t="str">
        <f>Z25</f>
        <v>Rajkot</v>
      </c>
      <c r="G70">
        <f>AA25</f>
        <v>3</v>
      </c>
      <c r="J70" t="str">
        <f>G12</f>
        <v>Grand Total</v>
      </c>
      <c r="K70">
        <f t="shared" si="11"/>
        <v>534000</v>
      </c>
      <c r="L70">
        <f t="shared" si="12"/>
        <v>0</v>
      </c>
    </row>
    <row r="71" spans="3:12" x14ac:dyDescent="0.35">
      <c r="C71" t="str">
        <f t="shared" ref="C71:D71" si="17">C66</f>
        <v>Sales by salesman</v>
      </c>
      <c r="D71">
        <f t="shared" si="17"/>
        <v>0</v>
      </c>
      <c r="F71" t="str">
        <f>Z26</f>
        <v>Surat</v>
      </c>
      <c r="G71">
        <f>AA26</f>
        <v>3</v>
      </c>
      <c r="J71">
        <f t="shared" ref="J71:J72" si="18">G13</f>
        <v>0</v>
      </c>
      <c r="K71">
        <f t="shared" ref="K71:K72" si="19">H13</f>
        <v>0</v>
      </c>
      <c r="L71">
        <f t="shared" ref="L71:L72" si="20">I13</f>
        <v>0</v>
      </c>
    </row>
    <row r="72" spans="3:12" x14ac:dyDescent="0.35">
      <c r="C72">
        <f>C67</f>
        <v>0</v>
      </c>
      <c r="D72" t="str">
        <f>D67</f>
        <v>Values</v>
      </c>
      <c r="F72" t="str">
        <f t="shared" ref="F72:G75" si="21">Z27</f>
        <v>Udaipur</v>
      </c>
      <c r="G72">
        <f t="shared" si="21"/>
        <v>4</v>
      </c>
      <c r="J72">
        <f t="shared" si="18"/>
        <v>0</v>
      </c>
      <c r="K72">
        <f t="shared" si="19"/>
        <v>0</v>
      </c>
      <c r="L72">
        <f t="shared" si="20"/>
        <v>0</v>
      </c>
    </row>
    <row r="73" spans="3:12" x14ac:dyDescent="0.35">
      <c r="C73">
        <f t="shared" ref="C73:D73" si="22">C68</f>
        <v>0</v>
      </c>
      <c r="D73" t="str">
        <f t="shared" si="22"/>
        <v>Count of inv_date2</v>
      </c>
      <c r="F73" t="str">
        <f t="shared" si="21"/>
        <v>Warangal</v>
      </c>
      <c r="G73">
        <f t="shared" si="21"/>
        <v>2</v>
      </c>
    </row>
    <row r="74" spans="3:12" x14ac:dyDescent="0.35">
      <c r="F74" t="str">
        <f t="shared" si="21"/>
        <v>Grand Total</v>
      </c>
      <c r="G74">
        <f t="shared" si="21"/>
        <v>63</v>
      </c>
    </row>
    <row r="75" spans="3:12" x14ac:dyDescent="0.35">
      <c r="F75">
        <f t="shared" si="21"/>
        <v>0</v>
      </c>
      <c r="G75">
        <f t="shared" si="21"/>
        <v>0</v>
      </c>
    </row>
  </sheetData>
  <mergeCells count="8">
    <mergeCell ref="AC2:AD2"/>
    <mergeCell ref="C61:D61"/>
    <mergeCell ref="D2:E2"/>
    <mergeCell ref="G2:H2"/>
    <mergeCell ref="J2:K2"/>
    <mergeCell ref="M2:O2"/>
    <mergeCell ref="Q2:X2"/>
    <mergeCell ref="Z2:AA2"/>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52F76-20D3-4FF7-AA52-582EC7778693}">
  <dimension ref="A1"/>
  <sheetViews>
    <sheetView showGridLines="0" tabSelected="1" zoomScaleNormal="100" workbookViewId="0">
      <selection activeCell="F38" sqref="F3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B552D-14AE-4F0D-9D31-616D94426279}">
  <dimension ref="A1"/>
  <sheetViews>
    <sheetView workbookViewId="0">
      <selection activeCell="W28" sqref="W28"/>
    </sheetView>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CA659-E31A-4B5B-B5AC-05BAE59C14C1}">
  <dimension ref="A1:Q26"/>
  <sheetViews>
    <sheetView topLeftCell="A2" workbookViewId="0">
      <selection activeCell="D10" sqref="A2:Q26"/>
    </sheetView>
  </sheetViews>
  <sheetFormatPr defaultRowHeight="14.5" x14ac:dyDescent="0.35"/>
  <cols>
    <col min="1" max="1" width="10.453125" bestFit="1" customWidth="1"/>
    <col min="3" max="3" width="6.7265625" bestFit="1" customWidth="1"/>
    <col min="4" max="4" width="12.1796875" bestFit="1" customWidth="1"/>
    <col min="5" max="5" width="9.54296875" bestFit="1" customWidth="1"/>
    <col min="6" max="6" width="15.81640625" bestFit="1" customWidth="1"/>
    <col min="7" max="7" width="9.81640625" bestFit="1" customWidth="1"/>
    <col min="8" max="8" width="16.453125" bestFit="1" customWidth="1"/>
    <col min="9" max="9" width="9.90625" bestFit="1" customWidth="1"/>
    <col min="10" max="10" width="11.54296875" bestFit="1" customWidth="1"/>
    <col min="11" max="11" width="10.1796875" bestFit="1" customWidth="1"/>
    <col min="12" max="12" width="15.54296875" bestFit="1" customWidth="1"/>
    <col min="13" max="13" width="10.26953125" bestFit="1" customWidth="1"/>
    <col min="14" max="14" width="14.26953125" bestFit="1" customWidth="1"/>
    <col min="15" max="15" width="10.90625" bestFit="1" customWidth="1"/>
    <col min="16" max="16" width="10.26953125" bestFit="1" customWidth="1"/>
    <col min="17" max="17" width="7.81640625" bestFit="1"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s="1">
        <v>45669</v>
      </c>
      <c r="B2" s="2" t="s">
        <v>17</v>
      </c>
      <c r="C2">
        <v>2025</v>
      </c>
      <c r="D2" s="2" t="s">
        <v>18</v>
      </c>
      <c r="E2" s="2" t="s">
        <v>19</v>
      </c>
      <c r="F2" s="2" t="s">
        <v>20</v>
      </c>
      <c r="G2" s="2" t="s">
        <v>21</v>
      </c>
      <c r="H2" s="2" t="s">
        <v>22</v>
      </c>
      <c r="I2">
        <v>18000</v>
      </c>
      <c r="J2">
        <v>6000</v>
      </c>
      <c r="K2">
        <v>3</v>
      </c>
      <c r="L2" s="2" t="s">
        <v>23</v>
      </c>
      <c r="M2" s="2" t="s">
        <v>24</v>
      </c>
      <c r="N2" s="2" t="s">
        <v>25</v>
      </c>
      <c r="O2" s="2" t="s">
        <v>26</v>
      </c>
      <c r="P2">
        <v>1000</v>
      </c>
      <c r="Q2">
        <v>4000</v>
      </c>
    </row>
    <row r="3" spans="1:17" x14ac:dyDescent="0.35">
      <c r="A3" s="1">
        <v>45675</v>
      </c>
      <c r="B3" s="2" t="s">
        <v>17</v>
      </c>
      <c r="C3">
        <v>2025</v>
      </c>
      <c r="D3" s="2" t="s">
        <v>27</v>
      </c>
      <c r="E3" s="2" t="s">
        <v>19</v>
      </c>
      <c r="F3" s="2" t="s">
        <v>28</v>
      </c>
      <c r="G3" s="2" t="s">
        <v>29</v>
      </c>
      <c r="H3" s="2" t="s">
        <v>30</v>
      </c>
      <c r="I3">
        <v>32000</v>
      </c>
      <c r="J3">
        <v>8000</v>
      </c>
      <c r="K3">
        <v>4</v>
      </c>
      <c r="L3" s="2" t="s">
        <v>31</v>
      </c>
      <c r="M3" s="2" t="s">
        <v>24</v>
      </c>
      <c r="N3" s="2" t="s">
        <v>32</v>
      </c>
      <c r="O3" s="2" t="s">
        <v>33</v>
      </c>
      <c r="P3">
        <v>2000</v>
      </c>
      <c r="Q3">
        <v>8000</v>
      </c>
    </row>
    <row r="4" spans="1:17" x14ac:dyDescent="0.35">
      <c r="A4" s="1">
        <v>45679</v>
      </c>
      <c r="B4" s="2" t="s">
        <v>17</v>
      </c>
      <c r="C4">
        <v>2025</v>
      </c>
      <c r="D4" s="2" t="s">
        <v>34</v>
      </c>
      <c r="E4" s="2" t="s">
        <v>19</v>
      </c>
      <c r="F4" s="2" t="s">
        <v>35</v>
      </c>
      <c r="G4" s="2" t="s">
        <v>36</v>
      </c>
      <c r="H4" s="2" t="s">
        <v>37</v>
      </c>
      <c r="I4">
        <v>14000</v>
      </c>
      <c r="J4">
        <v>7000</v>
      </c>
      <c r="K4">
        <v>2</v>
      </c>
      <c r="L4" s="2" t="s">
        <v>38</v>
      </c>
      <c r="M4" s="2" t="s">
        <v>24</v>
      </c>
      <c r="N4" s="2" t="s">
        <v>39</v>
      </c>
      <c r="O4" s="2" t="s">
        <v>40</v>
      </c>
      <c r="P4">
        <v>500</v>
      </c>
      <c r="Q4">
        <v>3000</v>
      </c>
    </row>
    <row r="5" spans="1:17" x14ac:dyDescent="0.35">
      <c r="A5" s="1">
        <v>45693</v>
      </c>
      <c r="B5" s="2" t="s">
        <v>41</v>
      </c>
      <c r="C5">
        <v>2025</v>
      </c>
      <c r="D5" s="2" t="s">
        <v>42</v>
      </c>
      <c r="E5" s="2" t="s">
        <v>19</v>
      </c>
      <c r="F5" s="2" t="s">
        <v>43</v>
      </c>
      <c r="G5" s="2" t="s">
        <v>44</v>
      </c>
      <c r="H5" s="2" t="s">
        <v>22</v>
      </c>
      <c r="I5">
        <v>21000</v>
      </c>
      <c r="J5">
        <v>7000</v>
      </c>
      <c r="K5">
        <v>3</v>
      </c>
      <c r="L5" s="2" t="s">
        <v>45</v>
      </c>
      <c r="M5" s="2" t="s">
        <v>24</v>
      </c>
      <c r="N5" s="2" t="s">
        <v>46</v>
      </c>
      <c r="O5" s="2" t="s">
        <v>47</v>
      </c>
      <c r="P5">
        <v>1500</v>
      </c>
      <c r="Q5">
        <v>5000</v>
      </c>
    </row>
    <row r="6" spans="1:17" x14ac:dyDescent="0.35">
      <c r="A6" s="1">
        <v>45697</v>
      </c>
      <c r="B6" s="2" t="s">
        <v>41</v>
      </c>
      <c r="C6">
        <v>2025</v>
      </c>
      <c r="D6" s="2" t="s">
        <v>18</v>
      </c>
      <c r="E6" s="2" t="s">
        <v>19</v>
      </c>
      <c r="F6" s="2" t="s">
        <v>48</v>
      </c>
      <c r="G6" s="2" t="s">
        <v>49</v>
      </c>
      <c r="H6" s="2" t="s">
        <v>50</v>
      </c>
      <c r="I6">
        <v>9000</v>
      </c>
      <c r="J6">
        <v>3000</v>
      </c>
      <c r="K6">
        <v>3</v>
      </c>
      <c r="L6" s="2" t="s">
        <v>51</v>
      </c>
      <c r="M6" s="2" t="s">
        <v>52</v>
      </c>
      <c r="N6" s="2" t="s">
        <v>53</v>
      </c>
      <c r="O6" s="2" t="s">
        <v>26</v>
      </c>
      <c r="P6">
        <v>300</v>
      </c>
      <c r="Q6">
        <v>2000</v>
      </c>
    </row>
    <row r="7" spans="1:17" x14ac:dyDescent="0.35">
      <c r="A7" s="1">
        <v>45708</v>
      </c>
      <c r="B7" s="2" t="s">
        <v>41</v>
      </c>
      <c r="C7">
        <v>2025</v>
      </c>
      <c r="D7" s="2" t="s">
        <v>34</v>
      </c>
      <c r="E7" s="2" t="s">
        <v>19</v>
      </c>
      <c r="F7" s="2" t="s">
        <v>54</v>
      </c>
      <c r="G7" s="2" t="s">
        <v>55</v>
      </c>
      <c r="H7" s="2" t="s">
        <v>30</v>
      </c>
      <c r="I7">
        <v>45000</v>
      </c>
      <c r="J7">
        <v>15000</v>
      </c>
      <c r="K7">
        <v>3</v>
      </c>
      <c r="L7" s="2" t="s">
        <v>56</v>
      </c>
      <c r="M7" s="2" t="s">
        <v>24</v>
      </c>
      <c r="N7" s="2" t="s">
        <v>46</v>
      </c>
      <c r="O7" s="2" t="s">
        <v>40</v>
      </c>
      <c r="P7">
        <v>2500</v>
      </c>
      <c r="Q7">
        <v>9000</v>
      </c>
    </row>
    <row r="8" spans="1:17" x14ac:dyDescent="0.35">
      <c r="A8" s="1">
        <v>45721</v>
      </c>
      <c r="B8" s="2" t="s">
        <v>57</v>
      </c>
      <c r="C8">
        <v>2025</v>
      </c>
      <c r="D8" s="2" t="s">
        <v>27</v>
      </c>
      <c r="E8" s="2" t="s">
        <v>19</v>
      </c>
      <c r="F8" s="2" t="s">
        <v>58</v>
      </c>
      <c r="G8" s="2" t="s">
        <v>59</v>
      </c>
      <c r="H8" s="2" t="s">
        <v>22</v>
      </c>
      <c r="I8">
        <v>24000</v>
      </c>
      <c r="J8">
        <v>8000</v>
      </c>
      <c r="K8">
        <v>3</v>
      </c>
      <c r="L8" s="2" t="s">
        <v>45</v>
      </c>
      <c r="M8" s="2" t="s">
        <v>24</v>
      </c>
      <c r="N8" s="2" t="s">
        <v>46</v>
      </c>
      <c r="O8" s="2" t="s">
        <v>33</v>
      </c>
      <c r="P8">
        <v>1200</v>
      </c>
      <c r="Q8">
        <v>6000</v>
      </c>
    </row>
    <row r="9" spans="1:17" x14ac:dyDescent="0.35">
      <c r="A9" s="1">
        <v>45728</v>
      </c>
      <c r="B9" s="2" t="s">
        <v>57</v>
      </c>
      <c r="C9">
        <v>2025</v>
      </c>
      <c r="D9" s="2" t="s">
        <v>42</v>
      </c>
      <c r="E9" s="2" t="s">
        <v>19</v>
      </c>
      <c r="F9" s="2" t="s">
        <v>60</v>
      </c>
      <c r="G9" s="2" t="s">
        <v>61</v>
      </c>
      <c r="H9" s="2" t="s">
        <v>37</v>
      </c>
      <c r="I9">
        <v>16000</v>
      </c>
      <c r="J9">
        <v>4000</v>
      </c>
      <c r="K9">
        <v>4</v>
      </c>
      <c r="L9" s="2" t="s">
        <v>62</v>
      </c>
      <c r="M9" s="2" t="s">
        <v>52</v>
      </c>
      <c r="N9" s="2" t="s">
        <v>63</v>
      </c>
      <c r="O9" s="2" t="s">
        <v>47</v>
      </c>
      <c r="P9">
        <v>600</v>
      </c>
      <c r="Q9">
        <v>3500</v>
      </c>
    </row>
    <row r="10" spans="1:17" x14ac:dyDescent="0.35">
      <c r="A10" s="1">
        <v>45734</v>
      </c>
      <c r="B10" s="2" t="s">
        <v>57</v>
      </c>
      <c r="C10">
        <v>2025</v>
      </c>
      <c r="D10" s="2" t="s">
        <v>18</v>
      </c>
      <c r="E10" s="2" t="s">
        <v>19</v>
      </c>
      <c r="F10" s="2" t="s">
        <v>64</v>
      </c>
      <c r="G10" s="2" t="s">
        <v>65</v>
      </c>
      <c r="H10" s="2" t="s">
        <v>50</v>
      </c>
      <c r="I10">
        <v>11000</v>
      </c>
      <c r="J10">
        <v>5500</v>
      </c>
      <c r="K10">
        <v>2</v>
      </c>
      <c r="L10" s="2" t="s">
        <v>38</v>
      </c>
      <c r="M10" s="2" t="s">
        <v>24</v>
      </c>
      <c r="N10" s="2" t="s">
        <v>39</v>
      </c>
      <c r="O10" s="2" t="s">
        <v>26</v>
      </c>
      <c r="P10">
        <v>400</v>
      </c>
      <c r="Q10">
        <v>2500</v>
      </c>
    </row>
    <row r="11" spans="1:17" x14ac:dyDescent="0.35">
      <c r="A11" s="1">
        <v>45749</v>
      </c>
      <c r="B11" s="2" t="s">
        <v>66</v>
      </c>
      <c r="C11">
        <v>2025</v>
      </c>
      <c r="D11" s="2" t="s">
        <v>34</v>
      </c>
      <c r="E11" s="2" t="s">
        <v>19</v>
      </c>
      <c r="F11" s="2" t="s">
        <v>67</v>
      </c>
      <c r="G11" s="2" t="s">
        <v>68</v>
      </c>
      <c r="H11" s="2" t="s">
        <v>22</v>
      </c>
      <c r="I11">
        <v>28000</v>
      </c>
      <c r="J11">
        <v>14000</v>
      </c>
      <c r="K11">
        <v>2</v>
      </c>
      <c r="L11" s="2" t="s">
        <v>31</v>
      </c>
      <c r="M11" s="2" t="s">
        <v>24</v>
      </c>
      <c r="N11" s="2" t="s">
        <v>32</v>
      </c>
      <c r="O11" s="2" t="s">
        <v>40</v>
      </c>
      <c r="P11">
        <v>1500</v>
      </c>
      <c r="Q11">
        <v>7000</v>
      </c>
    </row>
    <row r="12" spans="1:17" x14ac:dyDescent="0.35">
      <c r="A12" s="1">
        <v>45757</v>
      </c>
      <c r="B12" s="2" t="s">
        <v>66</v>
      </c>
      <c r="C12">
        <v>2025</v>
      </c>
      <c r="D12" s="2" t="s">
        <v>27</v>
      </c>
      <c r="E12" s="2" t="s">
        <v>19</v>
      </c>
      <c r="F12" s="2" t="s">
        <v>69</v>
      </c>
      <c r="G12" s="2" t="s">
        <v>70</v>
      </c>
      <c r="H12" s="2" t="s">
        <v>30</v>
      </c>
      <c r="I12">
        <v>17000</v>
      </c>
      <c r="J12">
        <v>8500</v>
      </c>
      <c r="K12">
        <v>2</v>
      </c>
      <c r="L12" s="2" t="s">
        <v>45</v>
      </c>
      <c r="M12" s="2" t="s">
        <v>24</v>
      </c>
      <c r="N12" s="2" t="s">
        <v>46</v>
      </c>
      <c r="O12" s="2" t="s">
        <v>33</v>
      </c>
      <c r="P12">
        <v>700</v>
      </c>
      <c r="Q12">
        <v>4000</v>
      </c>
    </row>
    <row r="13" spans="1:17" x14ac:dyDescent="0.35">
      <c r="A13" s="1">
        <v>45767</v>
      </c>
      <c r="B13" s="2" t="s">
        <v>66</v>
      </c>
      <c r="C13">
        <v>2025</v>
      </c>
      <c r="D13" s="2" t="s">
        <v>42</v>
      </c>
      <c r="E13" s="2" t="s">
        <v>19</v>
      </c>
      <c r="F13" s="2" t="s">
        <v>71</v>
      </c>
      <c r="G13" s="2" t="s">
        <v>72</v>
      </c>
      <c r="H13" s="2" t="s">
        <v>37</v>
      </c>
      <c r="I13">
        <v>15000</v>
      </c>
      <c r="J13">
        <v>5000</v>
      </c>
      <c r="K13">
        <v>3</v>
      </c>
      <c r="L13" s="2" t="s">
        <v>23</v>
      </c>
      <c r="M13" s="2" t="s">
        <v>24</v>
      </c>
      <c r="N13" s="2" t="s">
        <v>25</v>
      </c>
      <c r="O13" s="2" t="s">
        <v>47</v>
      </c>
      <c r="P13">
        <v>500</v>
      </c>
      <c r="Q13">
        <v>3000</v>
      </c>
    </row>
    <row r="14" spans="1:17" x14ac:dyDescent="0.35">
      <c r="A14" s="1">
        <v>45782</v>
      </c>
      <c r="B14" s="2" t="s">
        <v>73</v>
      </c>
      <c r="C14">
        <v>2025</v>
      </c>
      <c r="D14" s="2" t="s">
        <v>18</v>
      </c>
      <c r="E14" s="2" t="s">
        <v>19</v>
      </c>
      <c r="F14" s="2" t="s">
        <v>74</v>
      </c>
      <c r="G14" s="2" t="s">
        <v>75</v>
      </c>
      <c r="H14" s="2" t="s">
        <v>22</v>
      </c>
      <c r="I14">
        <v>22000</v>
      </c>
      <c r="J14">
        <v>11000</v>
      </c>
      <c r="K14">
        <v>2</v>
      </c>
      <c r="L14" s="2" t="s">
        <v>56</v>
      </c>
      <c r="M14" s="2" t="s">
        <v>24</v>
      </c>
      <c r="N14" s="2" t="s">
        <v>46</v>
      </c>
      <c r="O14" s="2" t="s">
        <v>26</v>
      </c>
      <c r="P14">
        <v>1000</v>
      </c>
      <c r="Q14">
        <v>5000</v>
      </c>
    </row>
    <row r="15" spans="1:17" x14ac:dyDescent="0.35">
      <c r="A15" s="1">
        <v>45789</v>
      </c>
      <c r="B15" s="2" t="s">
        <v>73</v>
      </c>
      <c r="C15">
        <v>2025</v>
      </c>
      <c r="D15" s="2" t="s">
        <v>34</v>
      </c>
      <c r="E15" s="2" t="s">
        <v>19</v>
      </c>
      <c r="F15" s="2" t="s">
        <v>76</v>
      </c>
      <c r="G15" s="2" t="s">
        <v>77</v>
      </c>
      <c r="H15" s="2" t="s">
        <v>50</v>
      </c>
      <c r="I15">
        <v>13000</v>
      </c>
      <c r="J15">
        <v>6500</v>
      </c>
      <c r="K15">
        <v>2</v>
      </c>
      <c r="L15" s="2" t="s">
        <v>38</v>
      </c>
      <c r="M15" s="2" t="s">
        <v>24</v>
      </c>
      <c r="N15" s="2" t="s">
        <v>39</v>
      </c>
      <c r="O15" s="2" t="s">
        <v>40</v>
      </c>
      <c r="P15">
        <v>600</v>
      </c>
      <c r="Q15">
        <v>2800</v>
      </c>
    </row>
    <row r="16" spans="1:17" x14ac:dyDescent="0.35">
      <c r="A16" s="1">
        <v>45795</v>
      </c>
      <c r="B16" s="2" t="s">
        <v>73</v>
      </c>
      <c r="C16">
        <v>2025</v>
      </c>
      <c r="D16" s="2" t="s">
        <v>27</v>
      </c>
      <c r="E16" s="2" t="s">
        <v>19</v>
      </c>
      <c r="F16" s="2" t="s">
        <v>78</v>
      </c>
      <c r="G16" s="2" t="s">
        <v>79</v>
      </c>
      <c r="H16" s="2" t="s">
        <v>30</v>
      </c>
      <c r="I16">
        <v>10000</v>
      </c>
      <c r="J16">
        <v>5000</v>
      </c>
      <c r="K16">
        <v>2</v>
      </c>
      <c r="L16" s="2" t="s">
        <v>51</v>
      </c>
      <c r="M16" s="2" t="s">
        <v>52</v>
      </c>
      <c r="N16" s="2" t="s">
        <v>53</v>
      </c>
      <c r="O16" s="2" t="s">
        <v>33</v>
      </c>
      <c r="P16">
        <v>400</v>
      </c>
      <c r="Q16">
        <v>2200</v>
      </c>
    </row>
    <row r="17" spans="1:17" x14ac:dyDescent="0.35">
      <c r="A17" s="1">
        <v>45810</v>
      </c>
      <c r="B17" s="2" t="s">
        <v>80</v>
      </c>
      <c r="C17">
        <v>2025</v>
      </c>
      <c r="D17" s="2" t="s">
        <v>42</v>
      </c>
      <c r="E17" s="2" t="s">
        <v>19</v>
      </c>
      <c r="F17" s="2" t="s">
        <v>43</v>
      </c>
      <c r="G17" s="2" t="s">
        <v>81</v>
      </c>
      <c r="H17" s="2" t="s">
        <v>22</v>
      </c>
      <c r="I17">
        <v>27000</v>
      </c>
      <c r="J17">
        <v>9000</v>
      </c>
      <c r="K17">
        <v>3</v>
      </c>
      <c r="L17" s="2" t="s">
        <v>31</v>
      </c>
      <c r="M17" s="2" t="s">
        <v>24</v>
      </c>
      <c r="N17" s="2" t="s">
        <v>32</v>
      </c>
      <c r="O17" s="2" t="s">
        <v>47</v>
      </c>
      <c r="P17">
        <v>1200</v>
      </c>
      <c r="Q17">
        <v>6500</v>
      </c>
    </row>
    <row r="18" spans="1:17" x14ac:dyDescent="0.35">
      <c r="A18" s="1">
        <v>45819</v>
      </c>
      <c r="B18" s="2" t="s">
        <v>80</v>
      </c>
      <c r="C18">
        <v>2025</v>
      </c>
      <c r="D18" s="2" t="s">
        <v>18</v>
      </c>
      <c r="E18" s="2" t="s">
        <v>19</v>
      </c>
      <c r="F18" s="2" t="s">
        <v>82</v>
      </c>
      <c r="G18" s="2" t="s">
        <v>83</v>
      </c>
      <c r="H18" s="2" t="s">
        <v>37</v>
      </c>
      <c r="I18">
        <v>8000</v>
      </c>
      <c r="J18">
        <v>4000</v>
      </c>
      <c r="K18">
        <v>2</v>
      </c>
      <c r="L18" s="2" t="s">
        <v>23</v>
      </c>
      <c r="M18" s="2" t="s">
        <v>24</v>
      </c>
      <c r="N18" s="2" t="s">
        <v>25</v>
      </c>
      <c r="O18" s="2" t="s">
        <v>26</v>
      </c>
      <c r="P18">
        <v>200</v>
      </c>
      <c r="Q18">
        <v>1500</v>
      </c>
    </row>
    <row r="19" spans="1:17" x14ac:dyDescent="0.35">
      <c r="A19" s="1">
        <v>45833</v>
      </c>
      <c r="B19" s="2" t="s">
        <v>80</v>
      </c>
      <c r="C19">
        <v>2025</v>
      </c>
      <c r="D19" s="2" t="s">
        <v>34</v>
      </c>
      <c r="E19" s="2" t="s">
        <v>19</v>
      </c>
      <c r="F19" s="2" t="s">
        <v>35</v>
      </c>
      <c r="G19" s="2" t="s">
        <v>84</v>
      </c>
      <c r="H19" s="2" t="s">
        <v>50</v>
      </c>
      <c r="I19">
        <v>20000</v>
      </c>
      <c r="J19">
        <v>10000</v>
      </c>
      <c r="K19">
        <v>2</v>
      </c>
      <c r="L19" s="2" t="s">
        <v>45</v>
      </c>
      <c r="M19" s="2" t="s">
        <v>24</v>
      </c>
      <c r="N19" s="2" t="s">
        <v>46</v>
      </c>
      <c r="O19" s="2" t="s">
        <v>40</v>
      </c>
      <c r="P19">
        <v>900</v>
      </c>
      <c r="Q19">
        <v>4500</v>
      </c>
    </row>
    <row r="20" spans="1:17" x14ac:dyDescent="0.35">
      <c r="A20" s="1">
        <v>45845</v>
      </c>
      <c r="B20" s="2" t="s">
        <v>85</v>
      </c>
      <c r="C20">
        <v>2025</v>
      </c>
      <c r="D20" s="2" t="s">
        <v>27</v>
      </c>
      <c r="E20" s="2" t="s">
        <v>19</v>
      </c>
      <c r="F20" s="2" t="s">
        <v>86</v>
      </c>
      <c r="G20" s="2" t="s">
        <v>87</v>
      </c>
      <c r="H20" s="2" t="s">
        <v>22</v>
      </c>
      <c r="I20">
        <v>15000</v>
      </c>
      <c r="J20">
        <v>7500</v>
      </c>
      <c r="K20">
        <v>2</v>
      </c>
      <c r="L20" s="2" t="s">
        <v>62</v>
      </c>
      <c r="M20" s="2" t="s">
        <v>52</v>
      </c>
      <c r="N20" s="2" t="s">
        <v>63</v>
      </c>
      <c r="O20" s="2" t="s">
        <v>33</v>
      </c>
      <c r="P20">
        <v>500</v>
      </c>
      <c r="Q20">
        <v>3000</v>
      </c>
    </row>
    <row r="21" spans="1:17" x14ac:dyDescent="0.35">
      <c r="A21" s="1">
        <v>45854</v>
      </c>
      <c r="B21" s="2" t="s">
        <v>85</v>
      </c>
      <c r="C21">
        <v>2025</v>
      </c>
      <c r="D21" s="2" t="s">
        <v>42</v>
      </c>
      <c r="E21" s="2" t="s">
        <v>19</v>
      </c>
      <c r="F21" s="2" t="s">
        <v>60</v>
      </c>
      <c r="G21" s="2" t="s">
        <v>88</v>
      </c>
      <c r="H21" s="2" t="s">
        <v>30</v>
      </c>
      <c r="I21">
        <v>26000</v>
      </c>
      <c r="J21">
        <v>13000</v>
      </c>
      <c r="K21">
        <v>2</v>
      </c>
      <c r="L21" s="2" t="s">
        <v>56</v>
      </c>
      <c r="M21" s="2" t="s">
        <v>24</v>
      </c>
      <c r="N21" s="2" t="s">
        <v>46</v>
      </c>
      <c r="O21" s="2" t="s">
        <v>47</v>
      </c>
      <c r="P21">
        <v>1500</v>
      </c>
      <c r="Q21">
        <v>6000</v>
      </c>
    </row>
    <row r="22" spans="1:17" x14ac:dyDescent="0.35">
      <c r="A22" s="1">
        <v>46027</v>
      </c>
      <c r="B22" s="2" t="s">
        <v>17</v>
      </c>
      <c r="C22">
        <v>2026</v>
      </c>
      <c r="D22" s="2" t="s">
        <v>34</v>
      </c>
      <c r="E22" s="2" t="s">
        <v>19</v>
      </c>
      <c r="F22" s="2" t="s">
        <v>35</v>
      </c>
      <c r="G22" s="2" t="s">
        <v>89</v>
      </c>
      <c r="H22" s="2" t="s">
        <v>22</v>
      </c>
      <c r="I22">
        <v>38000</v>
      </c>
      <c r="J22">
        <v>19000</v>
      </c>
      <c r="K22">
        <v>2</v>
      </c>
      <c r="L22" s="2" t="s">
        <v>31</v>
      </c>
      <c r="M22" s="2" t="s">
        <v>24</v>
      </c>
      <c r="N22" s="2" t="s">
        <v>32</v>
      </c>
      <c r="O22" s="2" t="s">
        <v>40</v>
      </c>
      <c r="P22">
        <v>2000</v>
      </c>
      <c r="Q22">
        <v>9000</v>
      </c>
    </row>
    <row r="23" spans="1:17" x14ac:dyDescent="0.35">
      <c r="A23" s="1">
        <v>46040</v>
      </c>
      <c r="B23" s="2" t="s">
        <v>17</v>
      </c>
      <c r="C23">
        <v>2026</v>
      </c>
      <c r="D23" s="2" t="s">
        <v>27</v>
      </c>
      <c r="E23" s="2" t="s">
        <v>19</v>
      </c>
      <c r="F23" s="2" t="s">
        <v>90</v>
      </c>
      <c r="G23" s="2" t="s">
        <v>91</v>
      </c>
      <c r="H23" s="2" t="s">
        <v>30</v>
      </c>
      <c r="I23">
        <v>21000</v>
      </c>
      <c r="J23">
        <v>7000</v>
      </c>
      <c r="K23">
        <v>3</v>
      </c>
      <c r="L23" s="2" t="s">
        <v>45</v>
      </c>
      <c r="M23" s="2" t="s">
        <v>24</v>
      </c>
      <c r="N23" s="2" t="s">
        <v>46</v>
      </c>
      <c r="O23" s="2" t="s">
        <v>33</v>
      </c>
      <c r="P23">
        <v>1000</v>
      </c>
      <c r="Q23">
        <v>5000</v>
      </c>
    </row>
    <row r="24" spans="1:17" x14ac:dyDescent="0.35">
      <c r="A24" s="1">
        <v>46063</v>
      </c>
      <c r="B24" s="2" t="s">
        <v>41</v>
      </c>
      <c r="C24">
        <v>2026</v>
      </c>
      <c r="D24" s="2" t="s">
        <v>42</v>
      </c>
      <c r="E24" s="2" t="s">
        <v>19</v>
      </c>
      <c r="F24" s="2" t="s">
        <v>71</v>
      </c>
      <c r="G24" s="2" t="s">
        <v>92</v>
      </c>
      <c r="H24" s="2" t="s">
        <v>37</v>
      </c>
      <c r="I24">
        <v>30000</v>
      </c>
      <c r="J24">
        <v>15000</v>
      </c>
      <c r="K24">
        <v>2</v>
      </c>
      <c r="L24" s="2" t="s">
        <v>56</v>
      </c>
      <c r="M24" s="2" t="s">
        <v>24</v>
      </c>
      <c r="N24" s="2" t="s">
        <v>46</v>
      </c>
      <c r="O24" s="2" t="s">
        <v>47</v>
      </c>
      <c r="P24">
        <v>1800</v>
      </c>
      <c r="Q24">
        <v>7500</v>
      </c>
    </row>
    <row r="25" spans="1:17" x14ac:dyDescent="0.35">
      <c r="A25" s="1">
        <v>46075</v>
      </c>
      <c r="B25" s="2" t="s">
        <v>41</v>
      </c>
      <c r="C25">
        <v>2026</v>
      </c>
      <c r="D25" s="2" t="s">
        <v>18</v>
      </c>
      <c r="E25" s="2" t="s">
        <v>19</v>
      </c>
      <c r="F25" s="2" t="s">
        <v>20</v>
      </c>
      <c r="G25" s="2" t="s">
        <v>21</v>
      </c>
      <c r="H25" s="2" t="s">
        <v>50</v>
      </c>
      <c r="I25">
        <v>12000</v>
      </c>
      <c r="J25">
        <v>6000</v>
      </c>
      <c r="K25">
        <v>2</v>
      </c>
      <c r="L25" s="2" t="s">
        <v>38</v>
      </c>
      <c r="M25" s="2" t="s">
        <v>24</v>
      </c>
      <c r="N25" s="2" t="s">
        <v>39</v>
      </c>
      <c r="O25" s="2" t="s">
        <v>26</v>
      </c>
      <c r="P25">
        <v>400</v>
      </c>
      <c r="Q25">
        <v>2500</v>
      </c>
    </row>
    <row r="26" spans="1:17" x14ac:dyDescent="0.35">
      <c r="A26" s="1">
        <v>46096</v>
      </c>
      <c r="B26" s="2" t="s">
        <v>57</v>
      </c>
      <c r="C26">
        <v>2026</v>
      </c>
      <c r="D26" s="2" t="s">
        <v>34</v>
      </c>
      <c r="E26" s="2" t="s">
        <v>19</v>
      </c>
      <c r="F26" s="2" t="s">
        <v>67</v>
      </c>
      <c r="G26" s="2" t="s">
        <v>93</v>
      </c>
      <c r="H26" s="2" t="s">
        <v>22</v>
      </c>
      <c r="I26">
        <v>42000</v>
      </c>
      <c r="J26">
        <v>14000</v>
      </c>
      <c r="K26">
        <v>3</v>
      </c>
      <c r="L26" s="2" t="s">
        <v>31</v>
      </c>
      <c r="M26" s="2" t="s">
        <v>24</v>
      </c>
      <c r="N26" s="2" t="s">
        <v>32</v>
      </c>
      <c r="O26" s="2" t="s">
        <v>40</v>
      </c>
      <c r="P26">
        <v>2200</v>
      </c>
      <c r="Q26">
        <v>10000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C6041-1835-47D4-8CF6-83BCF7803FAC}">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D8C4C5-067B-4980-96C1-D21F6BCB11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Dashboard</vt:lpstr>
      <vt:lpstr>Sheet3</vt:lpstr>
      <vt:lpstr>Sales_Data_2025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2026-02-26T07:05:11Z</dcterms:created>
  <dcterms:modified xsi:type="dcterms:W3CDTF">2026-02-26T12:16:06Z</dcterms:modified>
</cp:coreProperties>
</file>